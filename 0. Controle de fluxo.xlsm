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filterPrivacy="1" codeName="EstaPasta_de_trabalho"/>
  <xr:revisionPtr revIDLastSave="0" documentId="13_ncr:1_{1042FD09-3150-429D-9B8B-82085FB6481C}" xr6:coauthVersionLast="47" xr6:coauthVersionMax="47" xr10:uidLastSave="{00000000-0000-0000-0000-000000000000}"/>
  <bookViews>
    <workbookView xWindow="-120" yWindow="-120" windowWidth="29040" windowHeight="15720" tabRatio="691" xr2:uid="{00000000-000D-0000-FFFF-FFFF00000000}"/>
  </bookViews>
  <sheets>
    <sheet name="Index" sheetId="2" r:id="rId1"/>
    <sheet name="Base" sheetId="1" r:id="rId2"/>
    <sheet name="Estatisticas" sheetId="5" r:id="rId3"/>
    <sheet name="Suregs" sheetId="4" r:id="rId4"/>
  </sheets>
  <functionGroups builtInGroupCount="19"/>
  <externalReferences>
    <externalReference r:id="rId5"/>
  </externalReferences>
  <definedNames>
    <definedName name="_xlnm._FilterDatabase" localSheetId="3" hidden="1">Suregs!$A$1:$D$499</definedName>
    <definedName name="SUREGS">Suregs!$A:$D</definedName>
    <definedName name="tabel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7" i="5" l="1"/>
  <c r="H37" i="5"/>
  <c r="I37" i="5"/>
  <c r="E37" i="5"/>
  <c r="F37" i="5"/>
  <c r="D37" i="5"/>
  <c r="C37" i="5"/>
  <c r="J5" i="2" l="1"/>
  <c r="F5" i="2"/>
  <c r="N5" i="2" l="1"/>
  <c r="R5" i="2"/>
  <c r="F22" i="5"/>
  <c r="E22" i="5"/>
  <c r="B22" i="5"/>
  <c r="B37" i="5" l="1"/>
  <c r="C22" i="5"/>
  <c r="B10" i="5" l="1"/>
  <c r="C10" i="5"/>
  <c r="H22" i="5"/>
  <c r="G22" i="5"/>
  <c r="E10" i="5" l="1"/>
  <c r="D22" i="5"/>
  <c r="D10" i="5" l="1"/>
</calcChain>
</file>

<file path=xl/sharedStrings.xml><?xml version="1.0" encoding="utf-8"?>
<sst xmlns="http://schemas.openxmlformats.org/spreadsheetml/2006/main" count="388" uniqueCount="190">
  <si>
    <t>SUREG</t>
  </si>
  <si>
    <t>Cód. Agência</t>
  </si>
  <si>
    <t>Desc. Agência</t>
  </si>
  <si>
    <t>Nome</t>
  </si>
  <si>
    <t>Email</t>
  </si>
  <si>
    <t>Telefone</t>
  </si>
  <si>
    <t>Valor</t>
  </si>
  <si>
    <t>finalidades</t>
  </si>
  <si>
    <t>Linha Recomendada</t>
  </si>
  <si>
    <t>Estado</t>
  </si>
  <si>
    <t>Email agencia</t>
  </si>
  <si>
    <t>último email</t>
  </si>
  <si>
    <t>Enviador</t>
  </si>
  <si>
    <t>Dias desde a inclusão da proposta</t>
  </si>
  <si>
    <t>Status</t>
  </si>
  <si>
    <t>Justificativa</t>
  </si>
  <si>
    <t>Linha contratada</t>
  </si>
  <si>
    <t>Valor contratado</t>
  </si>
  <si>
    <t>Rural</t>
  </si>
  <si>
    <t>Tempo restante</t>
  </si>
  <si>
    <t>CPF</t>
  </si>
  <si>
    <t>CNPJ</t>
  </si>
  <si>
    <t>Protocolo</t>
  </si>
  <si>
    <t>Data</t>
  </si>
  <si>
    <t>João Antonio Da Silva Dourado</t>
  </si>
  <si>
    <t>Projeto de investimento</t>
  </si>
  <si>
    <t>GIRO FGI/FAMPE MAIS</t>
  </si>
  <si>
    <t>RS</t>
  </si>
  <si>
    <t>ag_sao_jose@banrisul.com.br</t>
  </si>
  <si>
    <t>CANC./EXP/REC.</t>
  </si>
  <si>
    <t>Gabriel Bertti Dezengrini</t>
  </si>
  <si>
    <t>ag_santa_isabel@banrisul.com.br</t>
  </si>
  <si>
    <t>Jorge Luis Silveira De Souza</t>
  </si>
  <si>
    <t>ag_gen_osorio_pelotas@banrisul.com.br</t>
  </si>
  <si>
    <t>Januar Garibaldi</t>
  </si>
  <si>
    <t>Aquisição de demais máquinas e equipamentos</t>
  </si>
  <si>
    <t>BNDES Finame - Demais BK</t>
  </si>
  <si>
    <t>ag_unisc@banrisul.com.br</t>
  </si>
  <si>
    <t>Dilermando Togni</t>
  </si>
  <si>
    <t>ag_erechim@banrisul.com.br</t>
  </si>
  <si>
    <t>Rayssa Camacho Rodrigues</t>
  </si>
  <si>
    <t>ag_villagio_iguatemi@banrisul.com.br</t>
  </si>
  <si>
    <t>Luciano Silveira Vargas</t>
  </si>
  <si>
    <t>ag_borges_de_medeiros@banrisul.com.br</t>
  </si>
  <si>
    <t>Maiara Das Neves Barros</t>
  </si>
  <si>
    <t>ag_av_general_neto@banrisul.com.br</t>
  </si>
  <si>
    <t>Leandro Francisco Dias Desbesel</t>
  </si>
  <si>
    <t>ag_sao_cristovao@banrisul.com.br</t>
  </si>
  <si>
    <t>Diego Luan Ferreira Da Silva</t>
  </si>
  <si>
    <t>ag_camobi@banrisul.com.br</t>
  </si>
  <si>
    <t>Lucas Ozonio Moreira De Ataide</t>
  </si>
  <si>
    <t>Bianca De Freitas Soares</t>
  </si>
  <si>
    <t>ag_bela_vista@banrisul.com.br</t>
  </si>
  <si>
    <t>Silvana De Fatima Da Silva Ferreira</t>
  </si>
  <si>
    <t>ag_tres_figueiras@banrisul.com.br</t>
  </si>
  <si>
    <t>Robson Paulo Motta</t>
  </si>
  <si>
    <t>ag_ametista_do_sul@banrisul.com.br</t>
  </si>
  <si>
    <t>Andre Luis Scherer Ribeiro</t>
  </si>
  <si>
    <t>ag_augusto_pestana@banrisul.com.br</t>
  </si>
  <si>
    <t>Marcio Reis De Vargas</t>
  </si>
  <si>
    <t>ag_capao_da_canoa@banrisul.com.br</t>
  </si>
  <si>
    <t>Lucas Polo Rizzon</t>
  </si>
  <si>
    <t>ag_cacique_doble@banrisul.com.br</t>
  </si>
  <si>
    <t>Matheus Henrique Portal Rickrot</t>
  </si>
  <si>
    <t>Kleyton Morales Ferreira</t>
  </si>
  <si>
    <t>Wiliam Gatto Passari</t>
  </si>
  <si>
    <t>Robison Leonard Lucas Rodrigues</t>
  </si>
  <si>
    <t>ag_rio_grande@banrisul.com.br</t>
  </si>
  <si>
    <t>Valdemir Mueller</t>
  </si>
  <si>
    <t>ag_feitoria@banrisul.com.br</t>
  </si>
  <si>
    <t xml:space="preserve">Jose Mateus Faria De Vargas </t>
  </si>
  <si>
    <t>ag_sao_roque@banrisul.com.br</t>
  </si>
  <si>
    <t>Joilson Picinin Cervi</t>
  </si>
  <si>
    <t>ag_cacapava_do_sul@banrisul.com.br</t>
  </si>
  <si>
    <t>Jussie Madrid Borges</t>
  </si>
  <si>
    <t>Aquisição de caminhões</t>
  </si>
  <si>
    <t>BNDES Finame - Ônibus e Caminhões</t>
  </si>
  <si>
    <t>ag_cangucu@banrisul.com.br</t>
  </si>
  <si>
    <t>Luyny Rodrigues Gulart</t>
  </si>
  <si>
    <t>ag_aguas_claras_viamao@banrisul.com.br</t>
  </si>
  <si>
    <t>Daniel Da Rosa Mengue</t>
  </si>
  <si>
    <t>ag_alvorada@banrisul.com.br</t>
  </si>
  <si>
    <t>CONTRATADAS</t>
  </si>
  <si>
    <t>LINHAS PRÓP.</t>
  </si>
  <si>
    <t>Raul Frederico Welter</t>
  </si>
  <si>
    <t>ag_sapiranga@banrisul.com.br</t>
  </si>
  <si>
    <t xml:space="preserve">Adriana De Fatima Anger Prudencio </t>
  </si>
  <si>
    <t>Adriano Peruzzo</t>
  </si>
  <si>
    <t>ag_canoas@banrisul.com.br</t>
  </si>
  <si>
    <t>Ciro andre Bersoti machado</t>
  </si>
  <si>
    <t>ag_mathias_velho@banrisul.com.br</t>
  </si>
  <si>
    <t>Marcia Aparecida Miranda</t>
  </si>
  <si>
    <t>ag_soledade@banrisul.com.br</t>
  </si>
  <si>
    <t>Jocemar Camargo</t>
  </si>
  <si>
    <t>ag_sao_borja@banrisul.com.br</t>
  </si>
  <si>
    <t>Jaerson Tavares Santana</t>
  </si>
  <si>
    <t>Aquisição de ônibus</t>
  </si>
  <si>
    <t>ag_livramento@banrisul.com.br</t>
  </si>
  <si>
    <t>Ronimar Antônio Spada</t>
  </si>
  <si>
    <t>Robson Alencar Wendel</t>
  </si>
  <si>
    <t>Bruna Pereira Rodrigues</t>
  </si>
  <si>
    <t>ag_navegantes@banrisul.com.br</t>
  </si>
  <si>
    <t>Felipe De Borba Da Silva</t>
  </si>
  <si>
    <t>ag_imbe@banrisul.com.br</t>
  </si>
  <si>
    <t>Joao Marcos Kanieski</t>
  </si>
  <si>
    <t>Jose Alexandre Barros Dreyer</t>
  </si>
  <si>
    <t>ag_frederico_westphalen@banrisul.com.br</t>
  </si>
  <si>
    <t>Gunther Andre Hofstatter</t>
  </si>
  <si>
    <t>ag_sao_lourenco_do_sul@banrisul.com.br</t>
  </si>
  <si>
    <t>Cartão BNDES</t>
  </si>
  <si>
    <t>EM CONTATO</t>
  </si>
  <si>
    <t>AGUARDANDO</t>
  </si>
  <si>
    <t>treinadorjoaodourado@gmail.com</t>
  </si>
  <si>
    <t>gdezengrini@gmail.com</t>
  </si>
  <si>
    <t>Oficinabox33@hotmail.com</t>
  </si>
  <si>
    <t>jgaribaldi2007@hotmail.com</t>
  </si>
  <si>
    <t>dilermandotogni@gmail.com</t>
  </si>
  <si>
    <t>rayssa_crod@hotmail.com</t>
  </si>
  <si>
    <t>lucianocuba@hotmail.com</t>
  </si>
  <si>
    <t>maiarabarros2013@bol.com.br</t>
  </si>
  <si>
    <t>leandro_desbesel@hotmail.com</t>
  </si>
  <si>
    <t>diegoluanfs@gmail.com</t>
  </si>
  <si>
    <t>lucas.moreira@ecomp.ufsm.br</t>
  </si>
  <si>
    <t>biancabita2013@gmail.com</t>
  </si>
  <si>
    <t>BABYREDES@YAHOO.COM.BR</t>
  </si>
  <si>
    <t>robsonpmotta@gmail.com</t>
  </si>
  <si>
    <t>andre.ijui.pergolados@gmail.com</t>
  </si>
  <si>
    <t>marcio.vargas@gmail.com</t>
  </si>
  <si>
    <t>lucas.polo@gmail.com</t>
  </si>
  <si>
    <t>matheus.hpr@hotmail.com</t>
  </si>
  <si>
    <t>kleyton_nill@hotmail.com</t>
  </si>
  <si>
    <t>suportewgpbrindes@gmail.com</t>
  </si>
  <si>
    <t>atualserigrafia@gmail.com</t>
  </si>
  <si>
    <t>ferragem.mueller@gmail.com</t>
  </si>
  <si>
    <t>jose_fv@hotmail.com</t>
  </si>
  <si>
    <t>joilsoncervi@yahoo.com.br</t>
  </si>
  <si>
    <t>jussiemadrid@gmail.com</t>
  </si>
  <si>
    <t>Luyny_rodrigues@hotmail.com</t>
  </si>
  <si>
    <t>DRM.MENGUE@GMAIL.COM</t>
  </si>
  <si>
    <t>raulwelter@gmail.com</t>
  </si>
  <si>
    <t>grupohwseguranca@gmail.com</t>
  </si>
  <si>
    <t>adrianoperuzzo484@gmail.com</t>
  </si>
  <si>
    <t>ciromecanico@hotmail.com</t>
  </si>
  <si>
    <t>masterplussoledade@gmail.com</t>
  </si>
  <si>
    <t>jocemar.camargo@hotmail.com</t>
  </si>
  <si>
    <t>jaersontavares1974@hotmail.com</t>
  </si>
  <si>
    <t>ronimarspada@gmail.com</t>
  </si>
  <si>
    <t>robson@conifera.eng.br</t>
  </si>
  <si>
    <t>adm@gstecnologias.com.br</t>
  </si>
  <si>
    <t>publicidadeimobiliariainfinity@gmail.com</t>
  </si>
  <si>
    <t>joaokanieski@gmail.com</t>
  </si>
  <si>
    <t>pigdartes@gmail.com</t>
  </si>
  <si>
    <t>gunther.eq@gmail.com</t>
  </si>
  <si>
    <t>ag_vila_branca@banrisul.com.br</t>
  </si>
  <si>
    <t>ag_ciriaco@banrisul.com.br</t>
  </si>
  <si>
    <t>Semanal</t>
  </si>
  <si>
    <t>Descricao_Sureg</t>
  </si>
  <si>
    <t>Codigo</t>
  </si>
  <si>
    <t>Descricao</t>
  </si>
  <si>
    <t>ag_tres_arroios@banrisul.com.br</t>
  </si>
  <si>
    <t>ag_ipanema@banrisul.com.br</t>
  </si>
  <si>
    <t>BNDES Crédito Pequenas Empresas</t>
  </si>
  <si>
    <t>Em Análise</t>
  </si>
  <si>
    <t>Fone</t>
  </si>
  <si>
    <t>Apoio</t>
  </si>
  <si>
    <t>Prim Envio</t>
  </si>
  <si>
    <t>OPERAÇÕES RECEBIDAS NA SEMANA</t>
  </si>
  <si>
    <t>TIPO DE OPERAÇÃO</t>
  </si>
  <si>
    <t>VALOR TOTAL</t>
  </si>
  <si>
    <t>N° PROPOSTAS</t>
  </si>
  <si>
    <t>N° RELATIVO (%)</t>
  </si>
  <si>
    <t>TICKET MÉDIO¹</t>
  </si>
  <si>
    <t>CAPITAL DE GIRO</t>
  </si>
  <si>
    <t>VEÍCULOS</t>
  </si>
  <si>
    <t>MÁQ/EQUIP.</t>
  </si>
  <si>
    <t>INVESTIMENTO</t>
  </si>
  <si>
    <t>CONSTRUÇÃO CIVIL</t>
  </si>
  <si>
    <t>INOVAÇÃO</t>
  </si>
  <si>
    <t>RURAL</t>
  </si>
  <si>
    <t>TOTAL</t>
  </si>
  <si>
    <t>RELAÇÕES GERAIS</t>
  </si>
  <si>
    <t>COMERCIAL</t>
  </si>
  <si>
    <t>RELAÇÕES DE OPERAÇÕES CONTRATADAS</t>
  </si>
  <si>
    <t>OPERAÇÕES CONTRATADAS</t>
  </si>
  <si>
    <t>LINHA BNDES</t>
  </si>
  <si>
    <t>BNDES MICROC.</t>
  </si>
  <si>
    <t>QUANT. TOTAL</t>
  </si>
  <si>
    <t>VALOR</t>
  </si>
  <si>
    <t>QUANT.</t>
  </si>
  <si>
    <t>Identificador Proposta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</si>
</sst>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&quot;R$&quot;* #,##0.00_-;\-&quot;R$&quot;* #,##0.00_-;_-&quot;R$&quot;* &quot;-&quot;??_-;_-@_-"/>
    <numFmt numFmtId="165" formatCode="&quot;R$&quot;\ #,##0.00"/>
    <numFmt numFmtId="166" formatCode="00&quot; -&quot;00000"/>
    <numFmt numFmtId="167" formatCode="000&quot;.&quot;000&quot;.&quot;000&quot;-&quot;00"/>
    <numFmt numFmtId="168" formatCode="00&quot;.&quot;000&quot;.&quot;000&quot;/&quot;0000&quot;-&quot;00"/>
    <numFmt numFmtId="169" formatCode="\(##\)&quot; &quot;00000&quot;-&quot;00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indexed="8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0"/>
      <name val="Calibri"/>
      <family val="2"/>
      <scheme val="minor"/>
    </font>
    <font>
      <sz val="12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24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8"/>
      <color rgb="FF7030A0"/>
      <name val="Calibri"/>
      <family val="2"/>
      <scheme val="minor"/>
    </font>
    <font>
      <sz val="1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</fills>
  <borders count="4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/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/>
      <diagonal/>
    </border>
    <border>
      <left style="thin">
        <color rgb="FF0070C0"/>
      </left>
      <right style="thin">
        <color rgb="FF0070C0"/>
      </right>
      <top/>
      <bottom style="thin">
        <color rgb="FF0070C0"/>
      </bottom>
      <diagonal/>
    </border>
    <border>
      <left style="thin">
        <color rgb="FF0070C0"/>
      </left>
      <right/>
      <top/>
      <bottom style="thin">
        <color rgb="FF0070C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rgb="FF0070C0"/>
      </bottom>
      <diagonal/>
    </border>
    <border>
      <left/>
      <right style="medium">
        <color indexed="64"/>
      </right>
      <top style="thin">
        <color rgb="FF0070C0"/>
      </top>
      <bottom style="thin">
        <color rgb="FF0070C0"/>
      </bottom>
      <diagonal/>
    </border>
    <border>
      <left style="medium">
        <color indexed="64"/>
      </left>
      <right style="thin">
        <color theme="4"/>
      </right>
      <top style="thin">
        <color theme="4"/>
      </top>
      <bottom/>
      <diagonal/>
    </border>
    <border>
      <left style="thin">
        <color rgb="FF0070C0"/>
      </left>
      <right/>
      <top style="thin">
        <color rgb="FF0070C0"/>
      </top>
      <bottom style="thin">
        <color rgb="FF0070C0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/>
      <diagonal/>
    </border>
    <border>
      <left style="thin">
        <color theme="0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thin">
        <color theme="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 style="thin">
        <color rgb="FF0070C0"/>
      </right>
      <top style="medium">
        <color indexed="64"/>
      </top>
      <bottom style="thin">
        <color rgb="FF0070C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rgb="FF0070C0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rgb="FF0070C0"/>
      </left>
      <right style="thin">
        <color rgb="FF0070C0"/>
      </right>
      <top style="medium">
        <color indexed="64"/>
      </top>
      <bottom/>
      <diagonal/>
    </border>
    <border>
      <left style="thin">
        <color rgb="FF0070C0"/>
      </left>
      <right style="thin">
        <color rgb="FF0070C0"/>
      </right>
      <top/>
      <bottom/>
      <diagonal/>
    </border>
    <border>
      <left style="medium">
        <color indexed="64"/>
      </left>
      <right style="thin">
        <color rgb="FF0070C0"/>
      </right>
      <top style="thin">
        <color rgb="FF0070C0"/>
      </top>
      <bottom style="thin">
        <color theme="4"/>
      </bottom>
      <diagonal/>
    </border>
    <border>
      <left/>
      <right style="thin">
        <color theme="1"/>
      </right>
      <top/>
      <bottom/>
      <diagonal/>
    </border>
    <border>
      <left/>
      <right/>
      <top style="thin">
        <color theme="8"/>
      </top>
      <bottom/>
      <diagonal/>
    </border>
    <border>
      <left/>
      <right/>
      <top style="thin">
        <color theme="8"/>
      </top>
      <bottom style="thin">
        <color theme="8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82">
    <xf numFmtId="0" fontId="0" fillId="0" borderId="0" xfId="0"/>
    <xf numFmtId="0" fontId="0" fillId="3" borderId="0" xfId="0" applyFill="1"/>
    <xf numFmtId="0" fontId="0" fillId="0" borderId="0" xfId="0" applyAlignment="1">
      <alignment horizontal="center" vertical="center"/>
    </xf>
    <xf numFmtId="0" fontId="0" fillId="0" borderId="0" xfId="0" applyFill="1"/>
    <xf numFmtId="0" fontId="0" fillId="0" borderId="0" xfId="0" applyFill="1" applyBorder="1"/>
    <xf numFmtId="0" fontId="0" fillId="0" borderId="0" xfId="0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0" fillId="4" borderId="0" xfId="0" applyFill="1"/>
    <xf numFmtId="0" fontId="0" fillId="0" borderId="0" xfId="0" applyFont="1"/>
    <xf numFmtId="14" fontId="0" fillId="0" borderId="0" xfId="0" applyNumberFormat="1"/>
    <xf numFmtId="0" fontId="0" fillId="0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0" fontId="4" fillId="0" borderId="0" xfId="0" applyFont="1"/>
    <xf numFmtId="0" fontId="5" fillId="0" borderId="0" xfId="0" applyNumberFormat="1" applyFont="1" applyFill="1" applyAlignment="1">
      <alignment horizontal="left"/>
    </xf>
    <xf numFmtId="0" fontId="5" fillId="0" borderId="0" xfId="0" applyFont="1" applyFill="1" applyAlignment="1">
      <alignment horizontal="left"/>
    </xf>
    <xf numFmtId="0" fontId="3" fillId="0" borderId="0" xfId="2"/>
    <xf numFmtId="49" fontId="0" fillId="0" borderId="0" xfId="0" applyNumberFormat="1" applyFont="1"/>
    <xf numFmtId="0" fontId="0" fillId="0" borderId="0" xfId="0" quotePrefix="1"/>
    <xf numFmtId="43" fontId="0" fillId="0" borderId="0" xfId="1" applyFont="1"/>
    <xf numFmtId="14" fontId="0" fillId="0" borderId="0" xfId="0" quotePrefix="1" applyNumberFormat="1"/>
    <xf numFmtId="166" fontId="0" fillId="0" borderId="0" xfId="0" applyNumberFormat="1" applyAlignment="1">
      <alignment horizontal="center" vertical="center"/>
    </xf>
    <xf numFmtId="0" fontId="6" fillId="0" borderId="0" xfId="0" applyFont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43" fontId="0" fillId="0" borderId="0" xfId="1" applyFont="1" applyAlignment="1">
      <alignment horizontal="center" vertical="center"/>
    </xf>
    <xf numFmtId="167" fontId="0" fillId="0" borderId="0" xfId="0" applyNumberFormat="1"/>
    <xf numFmtId="1" fontId="0" fillId="0" borderId="0" xfId="0" applyNumberFormat="1"/>
    <xf numFmtId="0" fontId="0" fillId="0" borderId="4" xfId="0" quotePrefix="1" applyBorder="1"/>
    <xf numFmtId="0" fontId="0" fillId="0" borderId="0" xfId="0" quotePrefix="1" applyBorder="1"/>
    <xf numFmtId="0" fontId="7" fillId="0" borderId="0" xfId="2" applyFont="1" applyBorder="1"/>
    <xf numFmtId="0" fontId="8" fillId="0" borderId="0" xfId="0" applyFont="1"/>
    <xf numFmtId="0" fontId="0" fillId="0" borderId="0" xfId="0" applyAlignment="1">
      <alignment horizontal="right"/>
    </xf>
    <xf numFmtId="0" fontId="9" fillId="3" borderId="0" xfId="0" applyFont="1" applyFill="1" applyAlignment="1">
      <alignment horizontal="center" vertical="center"/>
    </xf>
    <xf numFmtId="0" fontId="0" fillId="0" borderId="5" xfId="0" applyBorder="1"/>
    <xf numFmtId="44" fontId="0" fillId="0" borderId="5" xfId="3" applyFont="1" applyBorder="1" applyAlignment="1">
      <alignment horizontal="center"/>
    </xf>
    <xf numFmtId="9" fontId="0" fillId="0" borderId="5" xfId="4" applyFont="1" applyBorder="1" applyAlignment="1">
      <alignment horizontal="right"/>
    </xf>
    <xf numFmtId="0" fontId="0" fillId="0" borderId="7" xfId="0" applyBorder="1"/>
    <xf numFmtId="0" fontId="11" fillId="0" borderId="0" xfId="0" applyFont="1" applyFill="1" applyBorder="1" applyAlignment="1">
      <alignment vertical="top"/>
    </xf>
    <xf numFmtId="0" fontId="11" fillId="0" borderId="0" xfId="0" applyFont="1" applyFill="1" applyBorder="1" applyAlignment="1">
      <alignment horizontal="center" vertical="center"/>
    </xf>
    <xf numFmtId="0" fontId="0" fillId="6" borderId="0" xfId="0" applyFill="1"/>
    <xf numFmtId="0" fontId="0" fillId="0" borderId="5" xfId="0" applyBorder="1" applyAlignment="1">
      <alignment horizontal="right"/>
    </xf>
    <xf numFmtId="0" fontId="10" fillId="5" borderId="5" xfId="0" applyFont="1" applyFill="1" applyBorder="1"/>
    <xf numFmtId="44" fontId="9" fillId="5" borderId="5" xfId="3" applyFont="1" applyFill="1" applyBorder="1"/>
    <xf numFmtId="1" fontId="9" fillId="5" borderId="5" xfId="3" applyNumberFormat="1" applyFont="1" applyFill="1" applyBorder="1"/>
    <xf numFmtId="9" fontId="9" fillId="5" borderId="5" xfId="4" applyFont="1" applyFill="1" applyBorder="1"/>
    <xf numFmtId="0" fontId="0" fillId="0" borderId="0" xfId="0" quotePrefix="1" applyFill="1" applyAlignment="1">
      <alignment horizontal="center"/>
    </xf>
    <xf numFmtId="0" fontId="0" fillId="0" borderId="8" xfId="0" applyBorder="1"/>
    <xf numFmtId="44" fontId="0" fillId="0" borderId="5" xfId="3" applyFont="1" applyBorder="1"/>
    <xf numFmtId="0" fontId="9" fillId="5" borderId="5" xfId="0" applyFont="1" applyFill="1" applyBorder="1"/>
    <xf numFmtId="0" fontId="9" fillId="5" borderId="5" xfId="3" applyNumberFormat="1" applyFont="1" applyFill="1" applyBorder="1"/>
    <xf numFmtId="0" fontId="0" fillId="0" borderId="10" xfId="0" applyBorder="1"/>
    <xf numFmtId="0" fontId="0" fillId="0" borderId="11" xfId="0" applyBorder="1"/>
    <xf numFmtId="0" fontId="0" fillId="0" borderId="0" xfId="0" applyBorder="1"/>
    <xf numFmtId="0" fontId="0" fillId="0" borderId="0" xfId="0" applyFill="1" applyBorder="1" applyAlignment="1"/>
    <xf numFmtId="1" fontId="0" fillId="0" borderId="0" xfId="0" applyNumberFormat="1" applyFill="1" applyBorder="1" applyAlignment="1"/>
    <xf numFmtId="1" fontId="0" fillId="0" borderId="0" xfId="0" applyNumberFormat="1" applyFill="1" applyBorder="1"/>
    <xf numFmtId="9" fontId="0" fillId="0" borderId="0" xfId="4" applyFont="1" applyFill="1" applyBorder="1"/>
    <xf numFmtId="0" fontId="10" fillId="0" borderId="0" xfId="0" applyFont="1" applyFill="1" applyBorder="1" applyAlignment="1">
      <alignment vertical="center"/>
    </xf>
    <xf numFmtId="44" fontId="0" fillId="0" borderId="8" xfId="3" applyFont="1" applyBorder="1" applyAlignment="1">
      <alignment horizontal="center"/>
    </xf>
    <xf numFmtId="9" fontId="0" fillId="0" borderId="8" xfId="4" applyFont="1" applyBorder="1" applyAlignment="1">
      <alignment horizontal="right"/>
    </xf>
    <xf numFmtId="0" fontId="9" fillId="5" borderId="13" xfId="0" applyFont="1" applyFill="1" applyBorder="1" applyAlignment="1">
      <alignment horizontal="center" vertical="center"/>
    </xf>
    <xf numFmtId="0" fontId="0" fillId="0" borderId="14" xfId="0" applyBorder="1"/>
    <xf numFmtId="0" fontId="9" fillId="5" borderId="12" xfId="0" applyFont="1" applyFill="1" applyBorder="1" applyAlignment="1">
      <alignment horizontal="center" vertical="center"/>
    </xf>
    <xf numFmtId="9" fontId="0" fillId="0" borderId="8" xfId="4" applyFont="1" applyBorder="1"/>
    <xf numFmtId="0" fontId="0" fillId="0" borderId="17" xfId="0" applyBorder="1"/>
    <xf numFmtId="0" fontId="10" fillId="5" borderId="4" xfId="0" applyFont="1" applyFill="1" applyBorder="1"/>
    <xf numFmtId="0" fontId="9" fillId="5" borderId="4" xfId="0" applyFont="1" applyFill="1" applyBorder="1"/>
    <xf numFmtId="9" fontId="9" fillId="5" borderId="4" xfId="4" applyFont="1" applyFill="1" applyBorder="1"/>
    <xf numFmtId="164" fontId="9" fillId="5" borderId="4" xfId="0" applyNumberFormat="1" applyFont="1" applyFill="1" applyBorder="1"/>
    <xf numFmtId="44" fontId="9" fillId="5" borderId="12" xfId="3" applyFont="1" applyFill="1" applyBorder="1" applyAlignment="1">
      <alignment horizontal="center" vertical="center"/>
    </xf>
    <xf numFmtId="44" fontId="0" fillId="0" borderId="5" xfId="3" applyFont="1" applyBorder="1" applyAlignment="1">
      <alignment horizontal="right"/>
    </xf>
    <xf numFmtId="0" fontId="0" fillId="0" borderId="8" xfId="0" applyBorder="1" applyAlignment="1">
      <alignment horizontal="right"/>
    </xf>
    <xf numFmtId="0" fontId="0" fillId="0" borderId="9" xfId="0" applyBorder="1"/>
    <xf numFmtId="0" fontId="0" fillId="0" borderId="18" xfId="0" applyBorder="1"/>
    <xf numFmtId="0" fontId="0" fillId="0" borderId="6" xfId="0" applyBorder="1"/>
    <xf numFmtId="0" fontId="0" fillId="0" borderId="19" xfId="0" applyBorder="1"/>
    <xf numFmtId="44" fontId="0" fillId="0" borderId="22" xfId="3" applyFont="1" applyBorder="1"/>
    <xf numFmtId="0" fontId="0" fillId="0" borderId="23" xfId="0" applyBorder="1"/>
    <xf numFmtId="0" fontId="0" fillId="0" borderId="22" xfId="0" applyBorder="1"/>
    <xf numFmtId="0" fontId="9" fillId="5" borderId="2" xfId="0" applyFont="1" applyFill="1" applyBorder="1" applyAlignment="1">
      <alignment horizontal="center" vertical="center"/>
    </xf>
    <xf numFmtId="0" fontId="9" fillId="5" borderId="27" xfId="0" applyFont="1" applyFill="1" applyBorder="1" applyAlignment="1">
      <alignment horizontal="center" vertical="center"/>
    </xf>
    <xf numFmtId="44" fontId="9" fillId="5" borderId="28" xfId="3" applyFont="1" applyFill="1" applyBorder="1" applyAlignment="1">
      <alignment horizontal="center" vertical="center"/>
    </xf>
    <xf numFmtId="0" fontId="9" fillId="5" borderId="28" xfId="0" applyFont="1" applyFill="1" applyBorder="1" applyAlignment="1">
      <alignment horizontal="center" vertical="center"/>
    </xf>
    <xf numFmtId="44" fontId="0" fillId="0" borderId="8" xfId="3" applyFont="1" applyBorder="1" applyAlignment="1">
      <alignment horizontal="right"/>
    </xf>
    <xf numFmtId="44" fontId="9" fillId="5" borderId="4" xfId="3" applyFont="1" applyFill="1" applyBorder="1" applyAlignment="1">
      <alignment horizontal="center"/>
    </xf>
    <xf numFmtId="44" fontId="0" fillId="0" borderId="0" xfId="3" applyFont="1" applyAlignment="1">
      <alignment horizontal="center"/>
    </xf>
    <xf numFmtId="44" fontId="9" fillId="5" borderId="5" xfId="3" applyFont="1" applyFill="1" applyBorder="1" applyAlignment="1">
      <alignment horizontal="center"/>
    </xf>
    <xf numFmtId="0" fontId="0" fillId="0" borderId="32" xfId="0" applyBorder="1"/>
    <xf numFmtId="44" fontId="9" fillId="5" borderId="33" xfId="3" applyFont="1" applyFill="1" applyBorder="1" applyAlignment="1">
      <alignment horizontal="center" vertical="center"/>
    </xf>
    <xf numFmtId="44" fontId="0" fillId="0" borderId="15" xfId="3" applyFont="1" applyBorder="1" applyAlignment="1">
      <alignment horizontal="center"/>
    </xf>
    <xf numFmtId="44" fontId="0" fillId="0" borderId="16" xfId="3" applyFont="1" applyBorder="1" applyAlignment="1">
      <alignment horizontal="center"/>
    </xf>
    <xf numFmtId="0" fontId="12" fillId="0" borderId="3" xfId="0" applyFont="1" applyFill="1" applyBorder="1" applyAlignment="1">
      <alignment horizontal="center" vertical="center"/>
    </xf>
    <xf numFmtId="0" fontId="13" fillId="0" borderId="0" xfId="0" applyFont="1" applyFill="1" applyBorder="1"/>
    <xf numFmtId="0" fontId="13" fillId="0" borderId="0" xfId="0" applyFont="1"/>
    <xf numFmtId="0" fontId="14" fillId="0" borderId="0" xfId="0" applyFont="1" applyAlignment="1">
      <alignment horizontal="left"/>
    </xf>
    <xf numFmtId="0" fontId="0" fillId="0" borderId="34" xfId="0" applyBorder="1"/>
    <xf numFmtId="0" fontId="0" fillId="0" borderId="26" xfId="0" applyBorder="1"/>
    <xf numFmtId="44" fontId="0" fillId="0" borderId="35" xfId="3" applyFont="1" applyBorder="1" applyAlignment="1">
      <alignment horizontal="center"/>
    </xf>
    <xf numFmtId="44" fontId="0" fillId="0" borderId="7" xfId="3" applyFont="1" applyBorder="1" applyAlignment="1">
      <alignment horizontal="center"/>
    </xf>
    <xf numFmtId="9" fontId="0" fillId="0" borderId="36" xfId="4" applyFont="1" applyBorder="1" applyAlignment="1">
      <alignment horizontal="right"/>
    </xf>
    <xf numFmtId="9" fontId="0" fillId="0" borderId="37" xfId="4" applyFont="1" applyBorder="1" applyAlignment="1">
      <alignment horizontal="right"/>
    </xf>
    <xf numFmtId="9" fontId="0" fillId="0" borderId="7" xfId="4" applyFont="1" applyBorder="1" applyAlignment="1">
      <alignment horizontal="right"/>
    </xf>
    <xf numFmtId="44" fontId="0" fillId="0" borderId="39" xfId="3" applyFont="1" applyBorder="1" applyAlignment="1">
      <alignment horizontal="center"/>
    </xf>
    <xf numFmtId="0" fontId="0" fillId="0" borderId="38" xfId="0" applyBorder="1"/>
    <xf numFmtId="168" fontId="0" fillId="0" borderId="0" xfId="1" applyNumberFormat="1" applyFont="1"/>
    <xf numFmtId="165" fontId="0" fillId="0" borderId="0" xfId="1" applyNumberFormat="1" applyFont="1"/>
    <xf numFmtId="168" fontId="10" fillId="2" borderId="2" xfId="0" applyNumberFormat="1" applyFont="1" applyFill="1" applyBorder="1" applyAlignment="1">
      <alignment vertical="center"/>
    </xf>
    <xf numFmtId="0" fontId="10" fillId="2" borderId="2" xfId="0" applyFont="1" applyFill="1" applyBorder="1" applyAlignment="1">
      <alignment vertical="center"/>
    </xf>
    <xf numFmtId="169" fontId="10" fillId="2" borderId="2" xfId="0" applyNumberFormat="1" applyFont="1" applyFill="1" applyBorder="1" applyAlignment="1">
      <alignment vertical="center"/>
    </xf>
    <xf numFmtId="165" fontId="10" fillId="2" borderId="2" xfId="1" applyNumberFormat="1" applyFont="1" applyFill="1" applyBorder="1" applyAlignment="1">
      <alignment vertical="center"/>
    </xf>
    <xf numFmtId="165" fontId="9" fillId="2" borderId="2" xfId="0" applyNumberFormat="1" applyFont="1" applyFill="1" applyBorder="1" applyAlignment="1">
      <alignment vertical="center"/>
    </xf>
    <xf numFmtId="168" fontId="15" fillId="0" borderId="0" xfId="0" applyNumberFormat="1" applyFont="1" applyFill="1" applyBorder="1" applyAlignment="1">
      <alignment vertical="center"/>
    </xf>
    <xf numFmtId="0" fontId="15" fillId="0" borderId="0" xfId="0" applyFont="1" applyFill="1" applyBorder="1" applyAlignment="1">
      <alignment vertical="center"/>
    </xf>
    <xf numFmtId="169" fontId="15" fillId="0" borderId="0" xfId="0" applyNumberFormat="1" applyFont="1" applyFill="1" applyBorder="1" applyAlignment="1">
      <alignment vertical="center"/>
    </xf>
    <xf numFmtId="165" fontId="15" fillId="0" borderId="0" xfId="1" applyNumberFormat="1" applyFont="1" applyFill="1" applyBorder="1" applyAlignment="1">
      <alignment vertical="center"/>
    </xf>
    <xf numFmtId="14" fontId="15" fillId="0" borderId="0" xfId="0" applyNumberFormat="1" applyFont="1" applyFill="1" applyBorder="1" applyAlignment="1">
      <alignment vertical="center"/>
    </xf>
    <xf numFmtId="0" fontId="0" fillId="0" borderId="0" xfId="0" applyNumberFormat="1" applyFont="1" applyFill="1" applyAlignment="1">
      <alignment vertical="center"/>
    </xf>
    <xf numFmtId="1" fontId="0" fillId="0" borderId="0" xfId="0" applyNumberFormat="1" applyFont="1" applyFill="1" applyAlignment="1">
      <alignment vertical="center"/>
    </xf>
    <xf numFmtId="0" fontId="15" fillId="0" borderId="0" xfId="0" applyFont="1" applyFill="1" applyBorder="1" applyAlignment="1">
      <alignment horizontal="left" vertical="center"/>
    </xf>
    <xf numFmtId="168" fontId="15" fillId="0" borderId="0" xfId="0" applyNumberFormat="1" applyFont="1" applyFill="1" applyAlignment="1"/>
    <xf numFmtId="0" fontId="15" fillId="0" borderId="0" xfId="0" applyFont="1" applyFill="1" applyAlignment="1"/>
    <xf numFmtId="169" fontId="15" fillId="0" borderId="0" xfId="0" applyNumberFormat="1" applyFont="1" applyFill="1" applyAlignment="1"/>
    <xf numFmtId="165" fontId="15" fillId="0" borderId="0" xfId="0" applyNumberFormat="1" applyFont="1" applyFill="1" applyAlignment="1"/>
    <xf numFmtId="14" fontId="15" fillId="0" borderId="0" xfId="0" applyNumberFormat="1" applyFont="1" applyFill="1" applyAlignment="1"/>
    <xf numFmtId="169" fontId="0" fillId="0" borderId="0" xfId="0" applyNumberFormat="1" applyFont="1"/>
    <xf numFmtId="0" fontId="15" fillId="0" borderId="0" xfId="0" applyNumberFormat="1" applyFont="1" applyFill="1" applyAlignment="1"/>
    <xf numFmtId="14" fontId="0" fillId="0" borderId="0" xfId="0" quotePrefix="1" applyNumberFormat="1" applyFont="1"/>
    <xf numFmtId="1" fontId="15" fillId="0" borderId="0" xfId="0" applyNumberFormat="1" applyFont="1" applyFill="1" applyAlignment="1"/>
    <xf numFmtId="0" fontId="10" fillId="2" borderId="2" xfId="0" applyNumberFormat="1" applyFont="1" applyFill="1" applyBorder="1" applyAlignment="1"/>
    <xf numFmtId="167" fontId="10" fillId="2" borderId="2" xfId="0" applyNumberFormat="1" applyFont="1" applyFill="1" applyBorder="1" applyAlignment="1">
      <alignment vertical="center"/>
    </xf>
    <xf numFmtId="1" fontId="15" fillId="0" borderId="0" xfId="0" applyNumberFormat="1" applyFont="1" applyFill="1" applyBorder="1" applyAlignment="1"/>
    <xf numFmtId="167" fontId="15" fillId="0" borderId="0" xfId="0" applyNumberFormat="1" applyFont="1" applyFill="1" applyBorder="1" applyAlignment="1">
      <alignment vertical="center"/>
    </xf>
    <xf numFmtId="0" fontId="0" fillId="0" borderId="0" xfId="0" quotePrefix="1" applyFont="1"/>
    <xf numFmtId="167" fontId="0" fillId="0" borderId="0" xfId="0" applyNumberFormat="1" applyFont="1"/>
    <xf numFmtId="0" fontId="10" fillId="2" borderId="1" xfId="0" applyNumberFormat="1" applyFont="1" applyFill="1" applyBorder="1" applyAlignment="1">
      <alignment vertical="center"/>
    </xf>
    <xf numFmtId="0" fontId="10" fillId="2" borderId="2" xfId="0" applyFont="1" applyFill="1" applyBorder="1" applyAlignment="1">
      <alignment horizontal="right" vertical="center"/>
    </xf>
    <xf numFmtId="0" fontId="10" fillId="2" borderId="2" xfId="0" applyFont="1" applyFill="1" applyBorder="1" applyAlignment="1">
      <alignment horizontal="right"/>
    </xf>
    <xf numFmtId="0" fontId="0" fillId="0" borderId="0" xfId="0" applyFont="1" applyBorder="1" applyAlignment="1"/>
    <xf numFmtId="0" fontId="15" fillId="0" borderId="0" xfId="0" applyNumberFormat="1" applyFont="1" applyFill="1" applyBorder="1" applyAlignment="1">
      <alignment vertical="center"/>
    </xf>
    <xf numFmtId="0" fontId="15" fillId="0" borderId="0" xfId="0" applyFont="1" applyFill="1" applyBorder="1" applyAlignment="1">
      <alignment horizontal="right" vertical="center"/>
    </xf>
    <xf numFmtId="0" fontId="15" fillId="0" borderId="0" xfId="0" applyFont="1" applyFill="1" applyBorder="1" applyAlignment="1">
      <alignment horizontal="right"/>
    </xf>
    <xf numFmtId="0" fontId="0" fillId="0" borderId="0" xfId="0" applyFont="1" applyAlignment="1"/>
    <xf numFmtId="0" fontId="15" fillId="0" borderId="0" xfId="0" applyFont="1" applyFill="1" applyAlignment="1">
      <alignment horizontal="right" vertical="center"/>
    </xf>
    <xf numFmtId="0" fontId="15" fillId="0" borderId="0" xfId="0" applyFont="1" applyFill="1" applyAlignment="1">
      <alignment horizontal="right"/>
    </xf>
    <xf numFmtId="0" fontId="15" fillId="0" borderId="0" xfId="0" applyNumberFormat="1" applyFont="1" applyFill="1" applyAlignment="1">
      <alignment horizontal="right" vertical="center"/>
    </xf>
    <xf numFmtId="0" fontId="15" fillId="0" borderId="0" xfId="0" applyNumberFormat="1" applyFont="1" applyFill="1" applyAlignment="1">
      <alignment horizontal="right"/>
    </xf>
    <xf numFmtId="0" fontId="16" fillId="0" borderId="0" xfId="0" applyNumberFormat="1" applyFont="1" applyFill="1" applyAlignment="1">
      <alignment horizontal="left"/>
    </xf>
    <xf numFmtId="0" fontId="16" fillId="0" borderId="0" xfId="0" applyFont="1" applyFill="1" applyAlignment="1">
      <alignment horizontal="left"/>
    </xf>
    <xf numFmtId="0" fontId="0" fillId="0" borderId="0" xfId="0" applyNumberFormat="1" applyFont="1" applyAlignment="1"/>
    <xf numFmtId="0" fontId="0" fillId="0" borderId="0" xfId="0" applyFont="1" applyAlignment="1">
      <alignment horizontal="right" vertical="center"/>
    </xf>
    <xf numFmtId="0" fontId="0" fillId="0" borderId="0" xfId="0" applyFont="1" applyAlignment="1">
      <alignment horizontal="right"/>
    </xf>
    <xf numFmtId="167" fontId="0" fillId="0" borderId="0" xfId="0" applyNumberFormat="1" applyFont="1" applyAlignment="1"/>
    <xf numFmtId="168" fontId="0" fillId="0" borderId="0" xfId="0" applyNumberFormat="1" applyFont="1" applyAlignment="1"/>
    <xf numFmtId="169" fontId="0" fillId="0" borderId="0" xfId="0" applyNumberFormat="1" applyFont="1" applyAlignment="1"/>
    <xf numFmtId="165" fontId="0" fillId="0" borderId="0" xfId="0" applyNumberFormat="1" applyFont="1" applyAlignment="1"/>
    <xf numFmtId="0" fontId="17" fillId="0" borderId="0" xfId="0" applyNumberFormat="1" applyFont="1" applyFill="1" applyAlignment="1"/>
    <xf numFmtId="0" fontId="17" fillId="0" borderId="0" xfId="0" applyNumberFormat="1" applyFont="1" applyFill="1" applyAlignment="1">
      <alignment horizontal="right" vertical="center"/>
    </xf>
    <xf numFmtId="0" fontId="17" fillId="0" borderId="0" xfId="0" applyNumberFormat="1" applyFont="1" applyFill="1" applyAlignment="1">
      <alignment horizontal="right"/>
    </xf>
    <xf numFmtId="14" fontId="17" fillId="0" borderId="0" xfId="0" applyNumberFormat="1" applyFont="1" applyFill="1" applyAlignment="1"/>
    <xf numFmtId="1" fontId="17" fillId="0" borderId="0" xfId="0" applyNumberFormat="1" applyFont="1" applyFill="1" applyAlignment="1"/>
    <xf numFmtId="169" fontId="0" fillId="0" borderId="0" xfId="0" applyNumberFormat="1"/>
    <xf numFmtId="165" fontId="0" fillId="0" borderId="40" xfId="1" applyNumberFormat="1" applyFont="1" applyBorder="1"/>
    <xf numFmtId="44" fontId="15" fillId="0" borderId="0" xfId="3" applyFont="1" applyFill="1" applyAlignment="1"/>
    <xf numFmtId="44" fontId="15" fillId="0" borderId="0" xfId="3" applyFont="1" applyFill="1" applyBorder="1" applyAlignment="1">
      <alignment vertical="center"/>
    </xf>
    <xf numFmtId="44" fontId="17" fillId="0" borderId="0" xfId="3" applyFont="1" applyFill="1" applyAlignment="1"/>
    <xf numFmtId="0" fontId="0" fillId="0" borderId="41" xfId="0" quotePrefix="1" applyFont="1" applyBorder="1"/>
    <xf numFmtId="168" fontId="0" fillId="0" borderId="0" xfId="0" applyNumberFormat="1"/>
    <xf numFmtId="0" fontId="3" fillId="0" borderId="0" xfId="2" quotePrefix="1"/>
    <xf numFmtId="0" fontId="10" fillId="5" borderId="1" xfId="0" applyFont="1" applyFill="1" applyBorder="1" applyAlignment="1">
      <alignment horizontal="center" vertical="center"/>
    </xf>
    <xf numFmtId="0" fontId="10" fillId="5" borderId="2" xfId="0" applyFont="1" applyFill="1" applyBorder="1" applyAlignment="1">
      <alignment horizontal="center" vertical="center"/>
    </xf>
    <xf numFmtId="0" fontId="10" fillId="5" borderId="13" xfId="0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/>
    </xf>
    <xf numFmtId="0" fontId="10" fillId="5" borderId="2" xfId="0" applyFont="1" applyFill="1" applyBorder="1" applyAlignment="1">
      <alignment horizontal="center"/>
    </xf>
    <xf numFmtId="0" fontId="10" fillId="5" borderId="13" xfId="0" applyFont="1" applyFill="1" applyBorder="1" applyAlignment="1">
      <alignment horizontal="center"/>
    </xf>
    <xf numFmtId="0" fontId="10" fillId="5" borderId="26" xfId="0" applyFont="1" applyFill="1" applyBorder="1" applyAlignment="1">
      <alignment horizontal="center"/>
    </xf>
    <xf numFmtId="0" fontId="10" fillId="5" borderId="24" xfId="0" applyFont="1" applyFill="1" applyBorder="1" applyAlignment="1">
      <alignment horizontal="center"/>
    </xf>
    <xf numFmtId="0" fontId="9" fillId="5" borderId="29" xfId="0" applyFont="1" applyFill="1" applyBorder="1" applyAlignment="1">
      <alignment horizontal="center" vertical="center"/>
    </xf>
    <xf numFmtId="0" fontId="9" fillId="5" borderId="30" xfId="0" applyFont="1" applyFill="1" applyBorder="1" applyAlignment="1">
      <alignment horizontal="center" vertical="center"/>
    </xf>
    <xf numFmtId="0" fontId="9" fillId="5" borderId="31" xfId="0" applyFont="1" applyFill="1" applyBorder="1" applyAlignment="1">
      <alignment horizontal="center" vertical="center"/>
    </xf>
    <xf numFmtId="0" fontId="9" fillId="5" borderId="25" xfId="0" applyFont="1" applyFill="1" applyBorder="1" applyAlignment="1">
      <alignment horizontal="center" vertical="center"/>
    </xf>
    <xf numFmtId="0" fontId="9" fillId="5" borderId="21" xfId="0" applyFont="1" applyFill="1" applyBorder="1" applyAlignment="1">
      <alignment horizontal="center" vertical="center"/>
    </xf>
    <xf numFmtId="0" fontId="9" fillId="5" borderId="20" xfId="0" applyFont="1" applyFill="1" applyBorder="1" applyAlignment="1">
      <alignment horizontal="center" vertical="center"/>
    </xf>
  </cellXfs>
  <cellStyles count="5">
    <cellStyle name="Hiperlink" xfId="2" builtinId="8"/>
    <cellStyle name="Moeda" xfId="3" builtinId="4"/>
    <cellStyle name="Normal" xfId="0" builtinId="0"/>
    <cellStyle name="Porcentagem" xfId="4" builtinId="5"/>
    <cellStyle name="Vírgula" xfId="1" builtinId="3"/>
  </cellStyles>
  <dxfs count="504">
    <dxf>
      <font>
        <b/>
        <i val="0"/>
        <color rgb="FF00206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CC99FF"/>
        </patternFill>
      </fill>
    </dxf>
    <dxf>
      <fill>
        <patternFill>
          <bgColor theme="7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general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none">
          <fgColor indexed="64"/>
          <bgColor auto="1"/>
        </patternFill>
      </fill>
      <alignment horizontal="general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general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general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&quot;R$&quot;\ #,##0.00"/>
      <fill>
        <patternFill patternType="none">
          <fgColor indexed="64"/>
          <bgColor auto="1"/>
        </patternFill>
      </fill>
      <alignment horizontal="general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9" formatCode="\(##\)&quot; &quot;00000&quot;-&quot;0000"/>
      <fill>
        <patternFill patternType="none">
          <fgColor indexed="64"/>
          <bgColor auto="1"/>
        </patternFill>
      </fill>
      <alignment horizontal="general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8" formatCode="00&quot;.&quot;000&quot;.&quot;000&quot;/&quot;0000&quot;-&quot;00"/>
      <fill>
        <patternFill patternType="none">
          <fgColor indexed="64"/>
          <bgColor auto="1"/>
        </patternFill>
      </fill>
      <alignment horizontal="general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7" formatCode="000&quot;.&quot;000&quot;.&quot;000&quot;-&quot;00"/>
      <fill>
        <patternFill patternType="none">
          <fgColor indexed="64"/>
          <bgColor auto="1"/>
        </patternFill>
      </fill>
      <alignment horizontal="general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general" textRotation="0" wrapText="0" indent="0" justifyLastLine="0" shrinkToFit="0" readingOrder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7030A0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theme="1"/>
      </font>
      <fill>
        <patternFill>
          <bgColor rgb="FFFFFF66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theme="1"/>
      </font>
      <fill>
        <patternFill>
          <bgColor rgb="FFFFFF66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auto="1"/>
      </font>
      <fill>
        <gradientFill degree="90">
          <stop position="0">
            <color rgb="FFFF0000"/>
          </stop>
          <stop position="0.5">
            <color rgb="FFFF99CC"/>
          </stop>
          <stop position="1">
            <color rgb="FFFF0000"/>
          </stop>
        </gradientFill>
      </fill>
    </dxf>
    <dxf>
      <font>
        <b/>
        <i val="0"/>
        <color rgb="FF66FF33"/>
      </font>
      <fill>
        <gradientFill degree="90">
          <stop position="0">
            <color rgb="FFC00000"/>
          </stop>
          <stop position="0.5">
            <color rgb="FFFF66CC"/>
          </stop>
          <stop position="1">
            <color rgb="FFC00000"/>
          </stop>
        </gradientFill>
      </fill>
    </dxf>
    <dxf>
      <font>
        <b/>
        <i val="0"/>
        <color auto="1"/>
      </font>
      <fill>
        <gradientFill degree="90">
          <stop position="0">
            <color rgb="FFFF0000"/>
          </stop>
          <stop position="0.5">
            <color rgb="FFFF99CC"/>
          </stop>
          <stop position="1">
            <color rgb="FFFF0000"/>
          </stop>
        </gradientFill>
      </fill>
    </dxf>
    <dxf>
      <font>
        <b/>
        <i val="0"/>
        <color rgb="FF66FF33"/>
      </font>
      <fill>
        <gradientFill degree="90">
          <stop position="0">
            <color rgb="FFC00000"/>
          </stop>
          <stop position="0.5">
            <color rgb="FFFF66CC"/>
          </stop>
          <stop position="1">
            <color rgb="FFC00000"/>
          </stop>
        </gradientFill>
      </fill>
    </dxf>
    <dxf>
      <font>
        <b/>
        <i val="0"/>
        <color theme="0"/>
      </font>
      <fill>
        <patternFill>
          <bgColor rgb="FF002060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theme="1"/>
      </font>
      <fill>
        <patternFill>
          <bgColor rgb="FFFFFF66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theme="1"/>
      </font>
      <fill>
        <patternFill>
          <bgColor rgb="FFFFFF66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auto="1"/>
      </font>
      <fill>
        <gradientFill degree="90">
          <stop position="0">
            <color rgb="FFFF0000"/>
          </stop>
          <stop position="0.5">
            <color rgb="FFFF99CC"/>
          </stop>
          <stop position="1">
            <color rgb="FFFF0000"/>
          </stop>
        </gradientFill>
      </fill>
    </dxf>
    <dxf>
      <font>
        <b/>
        <i val="0"/>
        <color rgb="FF66FF33"/>
      </font>
      <fill>
        <gradientFill degree="90">
          <stop position="0">
            <color rgb="FFC00000"/>
          </stop>
          <stop position="0.5">
            <color rgb="FFFF66CC"/>
          </stop>
          <stop position="1">
            <color rgb="FFC00000"/>
          </stop>
        </gradientFill>
      </fill>
    </dxf>
    <dxf>
      <font>
        <b/>
        <i val="0"/>
        <color auto="1"/>
      </font>
      <fill>
        <gradientFill degree="90">
          <stop position="0">
            <color rgb="FFFF0000"/>
          </stop>
          <stop position="0.5">
            <color rgb="FFFF99CC"/>
          </stop>
          <stop position="1">
            <color rgb="FFFF0000"/>
          </stop>
        </gradientFill>
      </fill>
    </dxf>
    <dxf>
      <font>
        <b/>
        <i val="0"/>
        <color rgb="FF66FF33"/>
      </font>
      <fill>
        <gradientFill degree="90">
          <stop position="0">
            <color rgb="FFC00000"/>
          </stop>
          <stop position="0.5">
            <color rgb="FFFF66CC"/>
          </stop>
          <stop position="1">
            <color rgb="FFC00000"/>
          </stop>
        </gradientFill>
      </fill>
    </dxf>
    <dxf>
      <font>
        <b/>
        <i val="0"/>
        <color theme="0"/>
      </font>
      <fill>
        <patternFill>
          <bgColor rgb="FF002060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theme="1"/>
      </font>
      <fill>
        <patternFill>
          <bgColor rgb="FFFFFF66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theme="1"/>
      </font>
      <fill>
        <patternFill>
          <bgColor rgb="FFFFFF66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auto="1"/>
      </font>
      <fill>
        <gradientFill degree="90">
          <stop position="0">
            <color rgb="FFFF0000"/>
          </stop>
          <stop position="0.5">
            <color rgb="FFFF99CC"/>
          </stop>
          <stop position="1">
            <color rgb="FFFF0000"/>
          </stop>
        </gradientFill>
      </fill>
    </dxf>
    <dxf>
      <font>
        <b/>
        <i val="0"/>
        <color rgb="FF66FF33"/>
      </font>
      <fill>
        <gradientFill degree="90">
          <stop position="0">
            <color rgb="FFC00000"/>
          </stop>
          <stop position="0.5">
            <color rgb="FFFF66CC"/>
          </stop>
          <stop position="1">
            <color rgb="FFC00000"/>
          </stop>
        </gradientFill>
      </fill>
    </dxf>
    <dxf>
      <font>
        <b/>
        <i val="0"/>
        <color auto="1"/>
      </font>
      <fill>
        <gradientFill degree="90">
          <stop position="0">
            <color rgb="FFFF0000"/>
          </stop>
          <stop position="0.5">
            <color rgb="FFFF99CC"/>
          </stop>
          <stop position="1">
            <color rgb="FFFF0000"/>
          </stop>
        </gradientFill>
      </fill>
    </dxf>
    <dxf>
      <font>
        <b/>
        <i val="0"/>
        <color rgb="FF66FF33"/>
      </font>
      <fill>
        <gradientFill degree="90">
          <stop position="0">
            <color rgb="FFC00000"/>
          </stop>
          <stop position="0.5">
            <color rgb="FFFF66CC"/>
          </stop>
          <stop position="1">
            <color rgb="FFC00000"/>
          </stop>
        </gradientFill>
      </fill>
    </dxf>
    <dxf>
      <font>
        <b/>
        <i val="0"/>
        <color theme="0"/>
      </font>
      <fill>
        <patternFill>
          <bgColor rgb="FF002060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theme="1"/>
      </font>
      <fill>
        <patternFill>
          <bgColor rgb="FFFFFF66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theme="1"/>
      </font>
      <fill>
        <patternFill>
          <bgColor rgb="FFFFFF66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auto="1"/>
      </font>
      <fill>
        <gradientFill degree="90">
          <stop position="0">
            <color rgb="FFFF0000"/>
          </stop>
          <stop position="0.5">
            <color rgb="FFFF99CC"/>
          </stop>
          <stop position="1">
            <color rgb="FFFF0000"/>
          </stop>
        </gradientFill>
      </fill>
    </dxf>
    <dxf>
      <font>
        <b/>
        <i val="0"/>
        <color rgb="FF66FF33"/>
      </font>
      <fill>
        <gradientFill degree="90">
          <stop position="0">
            <color rgb="FFC00000"/>
          </stop>
          <stop position="0.5">
            <color rgb="FFFF66CC"/>
          </stop>
          <stop position="1">
            <color rgb="FFC00000"/>
          </stop>
        </gradientFill>
      </fill>
    </dxf>
    <dxf>
      <font>
        <b/>
        <i val="0"/>
        <color auto="1"/>
      </font>
      <fill>
        <gradientFill degree="90">
          <stop position="0">
            <color rgb="FFFF0000"/>
          </stop>
          <stop position="0.5">
            <color rgb="FFFF99CC"/>
          </stop>
          <stop position="1">
            <color rgb="FFFF0000"/>
          </stop>
        </gradientFill>
      </fill>
    </dxf>
    <dxf>
      <font>
        <b/>
        <i val="0"/>
        <color rgb="FF66FF33"/>
      </font>
      <fill>
        <gradientFill degree="90">
          <stop position="0">
            <color rgb="FFC00000"/>
          </stop>
          <stop position="0.5">
            <color rgb="FFFF66CC"/>
          </stop>
          <stop position="1">
            <color rgb="FFC00000"/>
          </stop>
        </gradientFill>
      </fill>
    </dxf>
    <dxf>
      <font>
        <b/>
        <i val="0"/>
        <color theme="0"/>
      </font>
      <fill>
        <patternFill>
          <bgColor rgb="FF002060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theme="1"/>
      </font>
      <fill>
        <patternFill>
          <bgColor rgb="FFFFFF66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theme="1"/>
      </font>
      <fill>
        <patternFill>
          <bgColor rgb="FFFFFF66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auto="1"/>
      </font>
      <fill>
        <gradientFill degree="90">
          <stop position="0">
            <color rgb="FFFF0000"/>
          </stop>
          <stop position="0.5">
            <color rgb="FFFF99CC"/>
          </stop>
          <stop position="1">
            <color rgb="FFFF0000"/>
          </stop>
        </gradientFill>
      </fill>
    </dxf>
    <dxf>
      <font>
        <b/>
        <i val="0"/>
        <color rgb="FF66FF33"/>
      </font>
      <fill>
        <gradientFill degree="90">
          <stop position="0">
            <color rgb="FFC00000"/>
          </stop>
          <stop position="0.5">
            <color rgb="FFFF66CC"/>
          </stop>
          <stop position="1">
            <color rgb="FFC00000"/>
          </stop>
        </gradientFill>
      </fill>
    </dxf>
    <dxf>
      <font>
        <b/>
        <i val="0"/>
        <color auto="1"/>
      </font>
      <fill>
        <gradientFill degree="90">
          <stop position="0">
            <color rgb="FFFF0000"/>
          </stop>
          <stop position="0.5">
            <color rgb="FFFF99CC"/>
          </stop>
          <stop position="1">
            <color rgb="FFFF0000"/>
          </stop>
        </gradientFill>
      </fill>
    </dxf>
    <dxf>
      <font>
        <b/>
        <i val="0"/>
        <color rgb="FF66FF33"/>
      </font>
      <fill>
        <gradientFill degree="90">
          <stop position="0">
            <color rgb="FFC00000"/>
          </stop>
          <stop position="0.5">
            <color rgb="FFFF66CC"/>
          </stop>
          <stop position="1">
            <color rgb="FFC00000"/>
          </stop>
        </gradientFill>
      </fill>
    </dxf>
    <dxf>
      <font>
        <b/>
        <i val="0"/>
        <color theme="0"/>
      </font>
      <fill>
        <patternFill>
          <bgColor rgb="FF002060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theme="1"/>
      </font>
      <fill>
        <patternFill>
          <bgColor rgb="FFFFFF66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theme="1"/>
      </font>
      <fill>
        <patternFill>
          <bgColor rgb="FFFFFF66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auto="1"/>
      </font>
      <fill>
        <gradientFill degree="90">
          <stop position="0">
            <color rgb="FFFF0000"/>
          </stop>
          <stop position="0.5">
            <color rgb="FFFF99CC"/>
          </stop>
          <stop position="1">
            <color rgb="FFFF0000"/>
          </stop>
        </gradientFill>
      </fill>
    </dxf>
    <dxf>
      <font>
        <b/>
        <i val="0"/>
        <color rgb="FF66FF33"/>
      </font>
      <fill>
        <gradientFill degree="90">
          <stop position="0">
            <color rgb="FFC00000"/>
          </stop>
          <stop position="0.5">
            <color rgb="FFFF66CC"/>
          </stop>
          <stop position="1">
            <color rgb="FFC00000"/>
          </stop>
        </gradientFill>
      </fill>
    </dxf>
    <dxf>
      <font>
        <b/>
        <i val="0"/>
        <color auto="1"/>
      </font>
      <fill>
        <gradientFill degree="90">
          <stop position="0">
            <color rgb="FFFF0000"/>
          </stop>
          <stop position="0.5">
            <color rgb="FFFF99CC"/>
          </stop>
          <stop position="1">
            <color rgb="FFFF0000"/>
          </stop>
        </gradientFill>
      </fill>
    </dxf>
    <dxf>
      <font>
        <b/>
        <i val="0"/>
        <color rgb="FF66FF33"/>
      </font>
      <fill>
        <gradientFill degree="90">
          <stop position="0">
            <color rgb="FFC00000"/>
          </stop>
          <stop position="0.5">
            <color rgb="FFFF66CC"/>
          </stop>
          <stop position="1">
            <color rgb="FFC00000"/>
          </stop>
        </gradientFill>
      </fill>
    </dxf>
    <dxf>
      <font>
        <b/>
        <i val="0"/>
        <color theme="0"/>
      </font>
      <fill>
        <patternFill>
          <bgColor rgb="FF002060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theme="1"/>
      </font>
      <fill>
        <patternFill>
          <bgColor rgb="FFFFFF66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theme="1"/>
      </font>
      <fill>
        <patternFill>
          <bgColor rgb="FFFFFF66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auto="1"/>
      </font>
      <fill>
        <gradientFill degree="90">
          <stop position="0">
            <color rgb="FFFF0000"/>
          </stop>
          <stop position="0.5">
            <color rgb="FFFF99CC"/>
          </stop>
          <stop position="1">
            <color rgb="FFFF0000"/>
          </stop>
        </gradientFill>
      </fill>
    </dxf>
    <dxf>
      <font>
        <b/>
        <i val="0"/>
        <color rgb="FF66FF33"/>
      </font>
      <fill>
        <gradientFill degree="90">
          <stop position="0">
            <color rgb="FFC00000"/>
          </stop>
          <stop position="0.5">
            <color rgb="FFFF66CC"/>
          </stop>
          <stop position="1">
            <color rgb="FFC00000"/>
          </stop>
        </gradientFill>
      </fill>
    </dxf>
    <dxf>
      <font>
        <b/>
        <i val="0"/>
        <color auto="1"/>
      </font>
      <fill>
        <gradientFill degree="90">
          <stop position="0">
            <color rgb="FFFF0000"/>
          </stop>
          <stop position="0.5">
            <color rgb="FFFF99CC"/>
          </stop>
          <stop position="1">
            <color rgb="FFFF0000"/>
          </stop>
        </gradientFill>
      </fill>
    </dxf>
    <dxf>
      <font>
        <b/>
        <i val="0"/>
        <color rgb="FF66FF33"/>
      </font>
      <fill>
        <gradientFill degree="90">
          <stop position="0">
            <color rgb="FFC00000"/>
          </stop>
          <stop position="0.5">
            <color rgb="FFFF66CC"/>
          </stop>
          <stop position="1">
            <color rgb="FFC00000"/>
          </stop>
        </gradientFill>
      </fill>
    </dxf>
    <dxf>
      <font>
        <b/>
        <i val="0"/>
        <color theme="0"/>
      </font>
      <fill>
        <patternFill>
          <bgColor rgb="FF002060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theme="1"/>
      </font>
      <fill>
        <patternFill>
          <bgColor rgb="FFFFFF66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theme="1"/>
      </font>
      <fill>
        <patternFill>
          <bgColor rgb="FFFFFF66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auto="1"/>
      </font>
      <fill>
        <gradientFill degree="90">
          <stop position="0">
            <color rgb="FFFF0000"/>
          </stop>
          <stop position="0.5">
            <color rgb="FFFF99CC"/>
          </stop>
          <stop position="1">
            <color rgb="FFFF0000"/>
          </stop>
        </gradientFill>
      </fill>
    </dxf>
    <dxf>
      <font>
        <b/>
        <i val="0"/>
        <color rgb="FF66FF33"/>
      </font>
      <fill>
        <gradientFill degree="90">
          <stop position="0">
            <color rgb="FFC00000"/>
          </stop>
          <stop position="0.5">
            <color rgb="FFFF66CC"/>
          </stop>
          <stop position="1">
            <color rgb="FFC00000"/>
          </stop>
        </gradientFill>
      </fill>
    </dxf>
    <dxf>
      <font>
        <b/>
        <i val="0"/>
        <color auto="1"/>
      </font>
      <fill>
        <gradientFill degree="90">
          <stop position="0">
            <color rgb="FFFF0000"/>
          </stop>
          <stop position="0.5">
            <color rgb="FFFF99CC"/>
          </stop>
          <stop position="1">
            <color rgb="FFFF0000"/>
          </stop>
        </gradientFill>
      </fill>
    </dxf>
    <dxf>
      <font>
        <b/>
        <i val="0"/>
        <color rgb="FF66FF33"/>
      </font>
      <fill>
        <gradientFill degree="90">
          <stop position="0">
            <color rgb="FFC00000"/>
          </stop>
          <stop position="0.5">
            <color rgb="FFFF66CC"/>
          </stop>
          <stop position="1">
            <color rgb="FFC00000"/>
          </stop>
        </gradientFill>
      </fill>
    </dxf>
    <dxf>
      <font>
        <b/>
        <i val="0"/>
        <color theme="0"/>
      </font>
      <fill>
        <patternFill>
          <bgColor rgb="FF002060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theme="1"/>
      </font>
      <fill>
        <patternFill>
          <bgColor rgb="FFFFFF66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theme="1"/>
      </font>
      <fill>
        <patternFill>
          <bgColor rgb="FFFFFF66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auto="1"/>
      </font>
      <fill>
        <gradientFill degree="90">
          <stop position="0">
            <color rgb="FFFF0000"/>
          </stop>
          <stop position="0.5">
            <color rgb="FFFF99CC"/>
          </stop>
          <stop position="1">
            <color rgb="FFFF0000"/>
          </stop>
        </gradientFill>
      </fill>
    </dxf>
    <dxf>
      <font>
        <b/>
        <i val="0"/>
        <color rgb="FF66FF33"/>
      </font>
      <fill>
        <gradientFill degree="90">
          <stop position="0">
            <color rgb="FFC00000"/>
          </stop>
          <stop position="0.5">
            <color rgb="FFFF66CC"/>
          </stop>
          <stop position="1">
            <color rgb="FFC00000"/>
          </stop>
        </gradientFill>
      </fill>
    </dxf>
    <dxf>
      <font>
        <b/>
        <i val="0"/>
        <color auto="1"/>
      </font>
      <fill>
        <gradientFill degree="90">
          <stop position="0">
            <color rgb="FFFF0000"/>
          </stop>
          <stop position="0.5">
            <color rgb="FFFF99CC"/>
          </stop>
          <stop position="1">
            <color rgb="FFFF0000"/>
          </stop>
        </gradientFill>
      </fill>
    </dxf>
    <dxf>
      <font>
        <b/>
        <i val="0"/>
        <color rgb="FF66FF33"/>
      </font>
      <fill>
        <gradientFill degree="90">
          <stop position="0">
            <color rgb="FFC00000"/>
          </stop>
          <stop position="0.5">
            <color rgb="FFFF66CC"/>
          </stop>
          <stop position="1">
            <color rgb="FFC00000"/>
          </stop>
        </gradientFill>
      </fill>
    </dxf>
    <dxf>
      <font>
        <b/>
        <i val="0"/>
        <color theme="0"/>
      </font>
      <fill>
        <patternFill>
          <bgColor rgb="FF002060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theme="1"/>
      </font>
      <fill>
        <patternFill>
          <bgColor rgb="FFFFFF66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theme="1"/>
      </font>
      <fill>
        <patternFill>
          <bgColor rgb="FFFFFF66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auto="1"/>
      </font>
      <fill>
        <gradientFill degree="90">
          <stop position="0">
            <color rgb="FFFF0000"/>
          </stop>
          <stop position="0.5">
            <color rgb="FFFF99CC"/>
          </stop>
          <stop position="1">
            <color rgb="FFFF0000"/>
          </stop>
        </gradientFill>
      </fill>
    </dxf>
    <dxf>
      <font>
        <b/>
        <i val="0"/>
        <color rgb="FF66FF33"/>
      </font>
      <fill>
        <gradientFill degree="90">
          <stop position="0">
            <color rgb="FFC00000"/>
          </stop>
          <stop position="0.5">
            <color rgb="FFFF66CC"/>
          </stop>
          <stop position="1">
            <color rgb="FFC00000"/>
          </stop>
        </gradientFill>
      </fill>
    </dxf>
    <dxf>
      <font>
        <b/>
        <i val="0"/>
        <color auto="1"/>
      </font>
      <fill>
        <gradientFill degree="90">
          <stop position="0">
            <color rgb="FFFF0000"/>
          </stop>
          <stop position="0.5">
            <color rgb="FFFF99CC"/>
          </stop>
          <stop position="1">
            <color rgb="FFFF0000"/>
          </stop>
        </gradientFill>
      </fill>
    </dxf>
    <dxf>
      <font>
        <b/>
        <i val="0"/>
        <color rgb="FF66FF33"/>
      </font>
      <fill>
        <gradientFill degree="90">
          <stop position="0">
            <color rgb="FFC00000"/>
          </stop>
          <stop position="0.5">
            <color rgb="FFFF66CC"/>
          </stop>
          <stop position="1">
            <color rgb="FFC00000"/>
          </stop>
        </gradientFill>
      </fill>
    </dxf>
    <dxf>
      <font>
        <b/>
        <i val="0"/>
        <color theme="0"/>
      </font>
      <fill>
        <patternFill>
          <bgColor rgb="FF002060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theme="1"/>
      </font>
      <fill>
        <patternFill>
          <bgColor rgb="FFFFFF66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theme="1"/>
      </font>
      <fill>
        <patternFill>
          <bgColor rgb="FFFFFF66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auto="1"/>
      </font>
      <fill>
        <gradientFill degree="90">
          <stop position="0">
            <color rgb="FFFF0000"/>
          </stop>
          <stop position="0.5">
            <color rgb="FFFF99CC"/>
          </stop>
          <stop position="1">
            <color rgb="FFFF0000"/>
          </stop>
        </gradientFill>
      </fill>
    </dxf>
    <dxf>
      <font>
        <b/>
        <i val="0"/>
        <color rgb="FF66FF33"/>
      </font>
      <fill>
        <gradientFill degree="90">
          <stop position="0">
            <color rgb="FFC00000"/>
          </stop>
          <stop position="0.5">
            <color rgb="FFFF66CC"/>
          </stop>
          <stop position="1">
            <color rgb="FFC00000"/>
          </stop>
        </gradientFill>
      </fill>
    </dxf>
    <dxf>
      <font>
        <b/>
        <i val="0"/>
        <color auto="1"/>
      </font>
      <fill>
        <gradientFill degree="90">
          <stop position="0">
            <color rgb="FFFF0000"/>
          </stop>
          <stop position="0.5">
            <color rgb="FFFF99CC"/>
          </stop>
          <stop position="1">
            <color rgb="FFFF0000"/>
          </stop>
        </gradientFill>
      </fill>
    </dxf>
    <dxf>
      <font>
        <b/>
        <i val="0"/>
        <color rgb="FF66FF33"/>
      </font>
      <fill>
        <gradientFill degree="90">
          <stop position="0">
            <color rgb="FFC00000"/>
          </stop>
          <stop position="0.5">
            <color rgb="FFFF66CC"/>
          </stop>
          <stop position="1">
            <color rgb="FFC00000"/>
          </stop>
        </gradientFill>
      </fill>
    </dxf>
    <dxf>
      <font>
        <b/>
        <i val="0"/>
        <color theme="0"/>
      </font>
      <fill>
        <patternFill>
          <bgColor rgb="FF002060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theme="1"/>
      </font>
      <fill>
        <patternFill>
          <bgColor rgb="FFFFFF66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theme="1"/>
      </font>
      <fill>
        <patternFill>
          <bgColor rgb="FFFFFF66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auto="1"/>
      </font>
      <fill>
        <gradientFill degree="90">
          <stop position="0">
            <color rgb="FFFF0000"/>
          </stop>
          <stop position="0.5">
            <color rgb="FFFF99CC"/>
          </stop>
          <stop position="1">
            <color rgb="FFFF0000"/>
          </stop>
        </gradientFill>
      </fill>
    </dxf>
    <dxf>
      <font>
        <b/>
        <i val="0"/>
        <color rgb="FF66FF33"/>
      </font>
      <fill>
        <gradientFill degree="90">
          <stop position="0">
            <color rgb="FFC00000"/>
          </stop>
          <stop position="0.5">
            <color rgb="FFFF66CC"/>
          </stop>
          <stop position="1">
            <color rgb="FFC00000"/>
          </stop>
        </gradientFill>
      </fill>
    </dxf>
    <dxf>
      <font>
        <b/>
        <i val="0"/>
        <color auto="1"/>
      </font>
      <fill>
        <gradientFill degree="90">
          <stop position="0">
            <color rgb="FFFF0000"/>
          </stop>
          <stop position="0.5">
            <color rgb="FFFF99CC"/>
          </stop>
          <stop position="1">
            <color rgb="FFFF0000"/>
          </stop>
        </gradientFill>
      </fill>
    </dxf>
    <dxf>
      <font>
        <b/>
        <i val="0"/>
        <color rgb="FF66FF33"/>
      </font>
      <fill>
        <gradientFill degree="90">
          <stop position="0">
            <color rgb="FFC00000"/>
          </stop>
          <stop position="0.5">
            <color rgb="FFFF66CC"/>
          </stop>
          <stop position="1">
            <color rgb="FFC00000"/>
          </stop>
        </gradientFill>
      </fill>
    </dxf>
    <dxf>
      <font>
        <b/>
        <i val="0"/>
        <color theme="0"/>
      </font>
      <fill>
        <patternFill>
          <bgColor rgb="FF002060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theme="1"/>
      </font>
      <fill>
        <patternFill>
          <bgColor rgb="FFFFFF66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theme="1"/>
      </font>
      <fill>
        <patternFill>
          <bgColor rgb="FFFFFF66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auto="1"/>
      </font>
      <fill>
        <gradientFill degree="90">
          <stop position="0">
            <color rgb="FFFF0000"/>
          </stop>
          <stop position="0.5">
            <color rgb="FFFF99CC"/>
          </stop>
          <stop position="1">
            <color rgb="FFFF0000"/>
          </stop>
        </gradientFill>
      </fill>
    </dxf>
    <dxf>
      <font>
        <b/>
        <i val="0"/>
        <color rgb="FF66FF33"/>
      </font>
      <fill>
        <gradientFill degree="90">
          <stop position="0">
            <color rgb="FFC00000"/>
          </stop>
          <stop position="0.5">
            <color rgb="FFFF66CC"/>
          </stop>
          <stop position="1">
            <color rgb="FFC00000"/>
          </stop>
        </gradientFill>
      </fill>
    </dxf>
    <dxf>
      <font>
        <b/>
        <i val="0"/>
        <color auto="1"/>
      </font>
      <fill>
        <gradientFill degree="90">
          <stop position="0">
            <color rgb="FFFF0000"/>
          </stop>
          <stop position="0.5">
            <color rgb="FFFF99CC"/>
          </stop>
          <stop position="1">
            <color rgb="FFFF0000"/>
          </stop>
        </gradientFill>
      </fill>
    </dxf>
    <dxf>
      <font>
        <b/>
        <i val="0"/>
        <color rgb="FF66FF33"/>
      </font>
      <fill>
        <gradientFill degree="90">
          <stop position="0">
            <color rgb="FFC00000"/>
          </stop>
          <stop position="0.5">
            <color rgb="FFFF66CC"/>
          </stop>
          <stop position="1">
            <color rgb="FFC00000"/>
          </stop>
        </gradientFill>
      </fill>
    </dxf>
    <dxf>
      <font>
        <b/>
        <i val="0"/>
        <color theme="0"/>
      </font>
      <fill>
        <patternFill>
          <bgColor rgb="FF002060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CC99FF"/>
        </patternFill>
      </fill>
    </dxf>
    <dxf>
      <fill>
        <patternFill>
          <bgColor theme="7"/>
        </patternFill>
      </fill>
    </dxf>
    <dxf>
      <fill>
        <patternFill>
          <bgColor theme="9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CC99FF"/>
        </patternFill>
      </fill>
    </dxf>
    <dxf>
      <fill>
        <patternFill>
          <bgColor theme="7"/>
        </patternFill>
      </fill>
    </dxf>
    <dxf>
      <fill>
        <patternFill>
          <bgColor theme="9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theme="1"/>
      </font>
      <fill>
        <patternFill>
          <bgColor rgb="FFFFFF66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theme="1"/>
      </font>
      <fill>
        <patternFill>
          <bgColor rgb="FFFFFF66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auto="1"/>
      </font>
      <fill>
        <gradientFill degree="90">
          <stop position="0">
            <color rgb="FFFF0000"/>
          </stop>
          <stop position="0.5">
            <color rgb="FFFF99CC"/>
          </stop>
          <stop position="1">
            <color rgb="FFFF0000"/>
          </stop>
        </gradientFill>
      </fill>
    </dxf>
    <dxf>
      <font>
        <b/>
        <i val="0"/>
        <color rgb="FF66FF33"/>
      </font>
      <fill>
        <gradientFill degree="90">
          <stop position="0">
            <color rgb="FFC00000"/>
          </stop>
          <stop position="0.5">
            <color rgb="FFFF66CC"/>
          </stop>
          <stop position="1">
            <color rgb="FFC00000"/>
          </stop>
        </gradient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8B57C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Base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47626</xdr:colOff>
      <xdr:row>4</xdr:row>
      <xdr:rowOff>419100</xdr:rowOff>
    </xdr:from>
    <xdr:to>
      <xdr:col>7</xdr:col>
      <xdr:colOff>47626</xdr:colOff>
      <xdr:row>9</xdr:row>
      <xdr:rowOff>0</xdr:rowOff>
    </xdr:to>
    <xdr:sp macro="[0]!Em_INICIO_RELACIONAMENTO_FORMAL" textlink="">
      <xdr:nvSpPr>
        <xdr:cNvPr id="22" name="Retângulo Arredondado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2486026" y="1190625"/>
          <a:ext cx="1704975" cy="78105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6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Operações</a:t>
          </a:r>
          <a:r>
            <a:rPr lang="pt-BR" sz="16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 em andamento</a:t>
          </a:r>
          <a:endParaRPr lang="pt-BR" sz="16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  <a:p>
          <a:pPr algn="ctr"/>
          <a:endParaRPr lang="pt-BR" sz="1100" b="1" cap="none" spc="0">
            <a:ln w="12700">
              <a:solidFill>
                <a:srgbClr val="00B0F0"/>
              </a:solidFill>
              <a:prstDash val="solid"/>
            </a:ln>
            <a:solidFill>
              <a:schemeClr val="bg1"/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  <xdr:twoCellAnchor>
    <xdr:from>
      <xdr:col>8</xdr:col>
      <xdr:colOff>95250</xdr:colOff>
      <xdr:row>4</xdr:row>
      <xdr:rowOff>409575</xdr:rowOff>
    </xdr:from>
    <xdr:to>
      <xdr:col>10</xdr:col>
      <xdr:colOff>581025</xdr:colOff>
      <xdr:row>8</xdr:row>
      <xdr:rowOff>180975</xdr:rowOff>
    </xdr:to>
    <xdr:sp macro="[0]!Enviar_Email_EM_ANALISE" textlink="">
      <xdr:nvSpPr>
        <xdr:cNvPr id="23" name="Retângulo Arredondado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4848225" y="1181100"/>
          <a:ext cx="1704975" cy="78105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600" b="1">
              <a:solidFill>
                <a:schemeClr val="lt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Operações</a:t>
          </a:r>
          <a:r>
            <a:rPr lang="pt-BR" sz="1600" b="1" baseline="0">
              <a:solidFill>
                <a:schemeClr val="lt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 em aguardo</a:t>
          </a:r>
          <a:endParaRPr lang="pt-BR" sz="1600" b="1">
            <a:effectLst/>
          </a:endParaRPr>
        </a:p>
        <a:p>
          <a:pPr algn="l"/>
          <a:endParaRPr lang="pt-BR" sz="1100"/>
        </a:p>
      </xdr:txBody>
    </xdr:sp>
    <xdr:clientData/>
  </xdr:twoCellAnchor>
  <xdr:twoCellAnchor>
    <xdr:from>
      <xdr:col>12</xdr:col>
      <xdr:colOff>76200</xdr:colOff>
      <xdr:row>4</xdr:row>
      <xdr:rowOff>428625</xdr:rowOff>
    </xdr:from>
    <xdr:to>
      <xdr:col>14</xdr:col>
      <xdr:colOff>561975</xdr:colOff>
      <xdr:row>8</xdr:row>
      <xdr:rowOff>180975</xdr:rowOff>
    </xdr:to>
    <xdr:sp macro="[0]!Expiro_60D" textlink="">
      <xdr:nvSpPr>
        <xdr:cNvPr id="24" name="Retângulo Arredondado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7267575" y="1200150"/>
          <a:ext cx="1704975" cy="76200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4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Expiro +60 dias sem retorno</a:t>
          </a:r>
          <a:endParaRPr lang="pt-BR" sz="1400" b="1">
            <a:effectLst/>
          </a:endParaRPr>
        </a:p>
      </xdr:txBody>
    </xdr:sp>
    <xdr:clientData/>
  </xdr:twoCellAnchor>
  <xdr:twoCellAnchor>
    <xdr:from>
      <xdr:col>16</xdr:col>
      <xdr:colOff>85725</xdr:colOff>
      <xdr:row>4</xdr:row>
      <xdr:rowOff>418394</xdr:rowOff>
    </xdr:from>
    <xdr:to>
      <xdr:col>19</xdr:col>
      <xdr:colOff>161925</xdr:colOff>
      <xdr:row>8</xdr:row>
      <xdr:rowOff>151930</xdr:rowOff>
    </xdr:to>
    <xdr:sp macro="[0]!Expiro_90d" textlink="">
      <xdr:nvSpPr>
        <xdr:cNvPr id="25" name="Retângulo Arredondado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9820275" y="1189919"/>
          <a:ext cx="1704975" cy="743186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4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Expiro +90 dias em andamento</a:t>
          </a:r>
          <a:endParaRPr lang="pt-BR" sz="1400">
            <a:effectLst/>
          </a:endParaRPr>
        </a:p>
        <a:p>
          <a:pPr algn="l"/>
          <a:endParaRPr lang="pt-BR" sz="1100"/>
        </a:p>
      </xdr:txBody>
    </xdr:sp>
    <xdr:clientData/>
  </xdr:twoCellAnchor>
  <xdr:twoCellAnchor>
    <xdr:from>
      <xdr:col>4</xdr:col>
      <xdr:colOff>38101</xdr:colOff>
      <xdr:row>13</xdr:row>
      <xdr:rowOff>19050</xdr:rowOff>
    </xdr:from>
    <xdr:to>
      <xdr:col>7</xdr:col>
      <xdr:colOff>38101</xdr:colOff>
      <xdr:row>16</xdr:row>
      <xdr:rowOff>0</xdr:rowOff>
    </xdr:to>
    <xdr:sp macro="[0]!relatorio" textlink="">
      <xdr:nvSpPr>
        <xdr:cNvPr id="29" name="Retângulo Arredondado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2476501" y="2752725"/>
          <a:ext cx="1704975" cy="76200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6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Relatórios</a:t>
          </a:r>
          <a:r>
            <a:rPr lang="pt-BR" sz="16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 SUREGS</a:t>
          </a:r>
          <a:endParaRPr lang="pt-BR" sz="16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  <a:p>
          <a:pPr algn="ctr"/>
          <a:endParaRPr lang="pt-BR" sz="1100" b="1" cap="none" spc="0">
            <a:ln w="12700">
              <a:solidFill>
                <a:srgbClr val="00B0F0"/>
              </a:solidFill>
              <a:prstDash val="solid"/>
            </a:ln>
            <a:solidFill>
              <a:schemeClr val="bg1"/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  <xdr:twoCellAnchor>
    <xdr:from>
      <xdr:col>8</xdr:col>
      <xdr:colOff>57151</xdr:colOff>
      <xdr:row>13</xdr:row>
      <xdr:rowOff>9525</xdr:rowOff>
    </xdr:from>
    <xdr:to>
      <xdr:col>10</xdr:col>
      <xdr:colOff>542926</xdr:colOff>
      <xdr:row>15</xdr:row>
      <xdr:rowOff>180975</xdr:rowOff>
    </xdr:to>
    <xdr:sp macro="[0]!BNDES" textlink="">
      <xdr:nvSpPr>
        <xdr:cNvPr id="33" name="Retângulo Arredondado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4810126" y="2743200"/>
          <a:ext cx="1704975" cy="76200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6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Arquivo envio BNDES</a:t>
          </a:r>
          <a:endParaRPr lang="pt-BR" sz="16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  <a:p>
          <a:pPr algn="ctr"/>
          <a:endParaRPr lang="pt-BR" sz="1100" b="1" cap="none" spc="0">
            <a:ln w="12700">
              <a:solidFill>
                <a:srgbClr val="00B0F0"/>
              </a:solidFill>
              <a:prstDash val="solid"/>
            </a:ln>
            <a:solidFill>
              <a:schemeClr val="bg1"/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  <xdr:twoCellAnchor>
    <xdr:from>
      <xdr:col>12</xdr:col>
      <xdr:colOff>85726</xdr:colOff>
      <xdr:row>13</xdr:row>
      <xdr:rowOff>19050</xdr:rowOff>
    </xdr:from>
    <xdr:to>
      <xdr:col>14</xdr:col>
      <xdr:colOff>571501</xdr:colOff>
      <xdr:row>16</xdr:row>
      <xdr:rowOff>0</xdr:rowOff>
    </xdr:to>
    <xdr:sp macro="[0]!enviar_relatorio" textlink="">
      <xdr:nvSpPr>
        <xdr:cNvPr id="34" name="Retângulo Arredondado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7277101" y="2752725"/>
          <a:ext cx="1704975" cy="76200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6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E-mai</a:t>
          </a:r>
          <a:r>
            <a:rPr lang="pt-BR" sz="16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l semanal SUREGS</a:t>
          </a:r>
          <a:endParaRPr lang="pt-BR" sz="16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  <a:p>
          <a:pPr algn="ctr"/>
          <a:endParaRPr lang="pt-BR" sz="1100" b="1" cap="none" spc="0">
            <a:ln w="12700">
              <a:solidFill>
                <a:srgbClr val="00B0F0"/>
              </a:solidFill>
              <a:prstDash val="solid"/>
            </a:ln>
            <a:solidFill>
              <a:schemeClr val="bg1"/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  <xdr:twoCellAnchor>
    <xdr:from>
      <xdr:col>16</xdr:col>
      <xdr:colOff>114301</xdr:colOff>
      <xdr:row>12</xdr:row>
      <xdr:rowOff>180975</xdr:rowOff>
    </xdr:from>
    <xdr:to>
      <xdr:col>19</xdr:col>
      <xdr:colOff>190501</xdr:colOff>
      <xdr:row>15</xdr:row>
      <xdr:rowOff>161925</xdr:rowOff>
    </xdr:to>
    <xdr:sp macro="[0]!Abrir_bndes" textlink="">
      <xdr:nvSpPr>
        <xdr:cNvPr id="35" name="Retângulo Arredondado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9744076" y="2724150"/>
          <a:ext cx="1704975" cy="76200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6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Retorno</a:t>
          </a:r>
          <a:r>
            <a:rPr lang="pt-BR" sz="16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BNDES</a:t>
          </a:r>
          <a:endParaRPr lang="pt-BR" sz="16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9525</xdr:colOff>
      <xdr:row>4</xdr:row>
      <xdr:rowOff>9525</xdr:rowOff>
    </xdr:from>
    <xdr:to>
      <xdr:col>3</xdr:col>
      <xdr:colOff>0</xdr:colOff>
      <xdr:row>5</xdr:row>
      <xdr:rowOff>19050</xdr:rowOff>
    </xdr:to>
    <xdr:sp macro="[0]!atualizar" textlink="">
      <xdr:nvSpPr>
        <xdr:cNvPr id="38" name="Retângulo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9525" y="781050"/>
          <a:ext cx="1819275" cy="447675"/>
        </a:xfrm>
        <a:prstGeom prst="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Atualizar</a:t>
          </a:r>
          <a:r>
            <a:rPr lang="pt-BR" sz="1400" b="1" baseline="0"/>
            <a:t> operações</a:t>
          </a:r>
          <a:endParaRPr lang="pt-BR" sz="1400" b="1"/>
        </a:p>
      </xdr:txBody>
    </xdr:sp>
    <xdr:clientData/>
  </xdr:twoCellAnchor>
  <xdr:twoCellAnchor>
    <xdr:from>
      <xdr:col>0</xdr:col>
      <xdr:colOff>9525</xdr:colOff>
      <xdr:row>5</xdr:row>
      <xdr:rowOff>85725</xdr:rowOff>
    </xdr:from>
    <xdr:to>
      <xdr:col>3</xdr:col>
      <xdr:colOff>0</xdr:colOff>
      <xdr:row>7</xdr:row>
      <xdr:rowOff>152400</xdr:rowOff>
    </xdr:to>
    <xdr:sp macro="[0]!chamarFormulario" textlink="">
      <xdr:nvSpPr>
        <xdr:cNvPr id="39" name="Retângulo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9525" y="1295400"/>
          <a:ext cx="1819275" cy="447675"/>
        </a:xfrm>
        <a:prstGeom prst="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Vizualisar</a:t>
          </a:r>
          <a:r>
            <a:rPr lang="pt-BR" sz="1400" b="1" baseline="0"/>
            <a:t> operações</a:t>
          </a:r>
          <a:endParaRPr lang="pt-BR" sz="1400" b="1"/>
        </a:p>
      </xdr:txBody>
    </xdr:sp>
    <xdr:clientData/>
  </xdr:twoCellAnchor>
  <xdr:twoCellAnchor>
    <xdr:from>
      <xdr:col>0</xdr:col>
      <xdr:colOff>0</xdr:colOff>
      <xdr:row>8</xdr:row>
      <xdr:rowOff>9525</xdr:rowOff>
    </xdr:from>
    <xdr:to>
      <xdr:col>2</xdr:col>
      <xdr:colOff>600075</xdr:colOff>
      <xdr:row>10</xdr:row>
      <xdr:rowOff>76200</xdr:rowOff>
    </xdr:to>
    <xdr:sp macro="" textlink="">
      <xdr:nvSpPr>
        <xdr:cNvPr id="14" name="Retângulo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0" y="1790700"/>
          <a:ext cx="1819275" cy="447675"/>
        </a:xfrm>
        <a:prstGeom prst="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Base</a:t>
          </a:r>
          <a:r>
            <a:rPr lang="pt-BR" sz="1400" b="1" baseline="0"/>
            <a:t> de dados</a:t>
          </a:r>
          <a:endParaRPr lang="pt-BR" sz="1400" b="1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esenvolvimento-GCO\GCO\ACOMPANHAMENTO\Canal%20MPME\Analise_06-1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propostas"/>
      <sheetName val="Plan1"/>
      <sheetName val="Plan3"/>
      <sheetName val="Pesquisa"/>
      <sheetName val="Estatistica"/>
      <sheetName val="Cnpjs"/>
      <sheetName val="Plan111"/>
      <sheetName val="Removidos"/>
      <sheetName val="Planilha1"/>
      <sheetName val="Plan4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abela1" displayName="tabela1" ref="A1:Y2" insertRow="1" totalsRowShown="0" headerRowDxfId="49" dataDxfId="47" headerRowBorderDxfId="48">
  <autoFilter ref="A1:Y2" xr:uid="{00000000-0009-0000-0100-000004000000}"/>
  <tableColumns count="25">
    <tableColumn id="1" xr3:uid="{00000000-0010-0000-0000-000001000000}" name="SUREG" dataDxfId="46"/>
    <tableColumn id="2" xr3:uid="{00000000-0010-0000-0000-000002000000}" name="Cód. Agência" dataDxfId="45"/>
    <tableColumn id="3" xr3:uid="{00000000-0010-0000-0000-000003000000}" name="Desc. Agência" dataDxfId="44"/>
    <tableColumn id="4" xr3:uid="{00000000-0010-0000-0000-000004000000}" name="Email agencia" dataDxfId="43"/>
    <tableColumn id="5" xr3:uid="{00000000-0010-0000-0000-000005000000}" name="Identificador Proposta" dataDxfId="42"/>
    <tableColumn id="6" xr3:uid="{00000000-0010-0000-0000-000006000000}" name="CPF" dataDxfId="41"/>
    <tableColumn id="7" xr3:uid="{00000000-0010-0000-0000-000007000000}" name="CNPJ" dataDxfId="40"/>
    <tableColumn id="8" xr3:uid="{00000000-0010-0000-0000-000008000000}" name="Nome" dataDxfId="39"/>
    <tableColumn id="9" xr3:uid="{00000000-0010-0000-0000-000009000000}" name="Email" dataDxfId="38"/>
    <tableColumn id="10" xr3:uid="{00000000-0010-0000-0000-00000A000000}" name="Telefone" dataDxfId="37"/>
    <tableColumn id="11" xr3:uid="{00000000-0010-0000-0000-00000B000000}" name="Valor" dataDxfId="36"/>
    <tableColumn id="12" xr3:uid="{00000000-0010-0000-0000-00000C000000}" name="finalidades" dataDxfId="35"/>
    <tableColumn id="13" xr3:uid="{00000000-0010-0000-0000-00000D000000}" name="Linha Recomendada" dataDxfId="34"/>
    <tableColumn id="14" xr3:uid="{00000000-0010-0000-0000-00000E000000}" name="Estado" dataDxfId="33"/>
    <tableColumn id="15" xr3:uid="{00000000-0010-0000-0000-00000F000000}" name="Data" dataDxfId="32"/>
    <tableColumn id="16" xr3:uid="{00000000-0010-0000-0000-000010000000}" name="último email" dataDxfId="31"/>
    <tableColumn id="17" xr3:uid="{00000000-0010-0000-0000-000011000000}" name="Enviador" dataDxfId="30"/>
    <tableColumn id="18" xr3:uid="{00000000-0010-0000-0000-000012000000}" name="Dias desde a inclusão da proposta" dataDxfId="29"/>
    <tableColumn id="19" xr3:uid="{00000000-0010-0000-0000-000013000000}" name="Tempo restante" dataDxfId="28"/>
    <tableColumn id="22" xr3:uid="{00000000-0010-0000-0000-000016000000}" name="Rural" dataDxfId="27"/>
    <tableColumn id="23" xr3:uid="{00000000-0010-0000-0000-000017000000}" name="Semanal" dataDxfId="26"/>
    <tableColumn id="24" xr3:uid="{00000000-0010-0000-0000-000018000000}" name="Status" dataDxfId="25"/>
    <tableColumn id="25" xr3:uid="{00000000-0010-0000-0000-000019000000}" name="Justificativa" dataDxfId="24"/>
    <tableColumn id="26" xr3:uid="{00000000-0010-0000-0000-00001A000000}" name="Linha contratada" dataDxfId="23"/>
    <tableColumn id="27" xr3:uid="{00000000-0010-0000-0000-00001B000000}" name="Valor contratado" dataDxfId="22" dataCellStyle="Moeda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mailto:ag_sao_cristovao@banrisul.com.br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1:V211"/>
  <sheetViews>
    <sheetView showGridLines="0" tabSelected="1" zoomScaleNormal="100" workbookViewId="0">
      <selection activeCell="B14" sqref="B14"/>
    </sheetView>
  </sheetViews>
  <sheetFormatPr defaultColWidth="0" defaultRowHeight="15" zeroHeight="1" x14ac:dyDescent="0.25"/>
  <cols>
    <col min="1" max="3" width="9.140625" style="1" customWidth="1"/>
    <col min="4" max="5" width="9.140625" style="3" customWidth="1"/>
    <col min="6" max="6" width="8.85546875" style="3" customWidth="1"/>
    <col min="7" max="7" width="9.140625" style="3" customWidth="1"/>
    <col min="8" max="18" width="9.140625" customWidth="1"/>
    <col min="19" max="19" width="6.140625" customWidth="1"/>
    <col min="20" max="20" width="9.7109375" style="3" customWidth="1"/>
    <col min="21" max="21" width="9.140625" hidden="1" customWidth="1"/>
    <col min="22" max="16384" width="9.140625" hidden="1"/>
  </cols>
  <sheetData>
    <row r="1" spans="1:20" x14ac:dyDescent="0.25">
      <c r="E1" s="4"/>
      <c r="F1" s="4"/>
      <c r="G1" s="4"/>
    </row>
    <row r="2" spans="1:20" ht="15" customHeight="1" x14ac:dyDescent="0.25">
      <c r="E2" s="4"/>
      <c r="F2" s="4"/>
      <c r="G2" s="4"/>
    </row>
    <row r="3" spans="1:20" ht="15" customHeight="1" x14ac:dyDescent="0.25">
      <c r="E3" s="4"/>
      <c r="F3" s="4"/>
      <c r="G3" s="4"/>
    </row>
    <row r="4" spans="1:20" ht="15.75" thickBot="1" x14ac:dyDescent="0.3">
      <c r="E4" s="5"/>
      <c r="F4" s="4"/>
      <c r="G4" s="4"/>
      <c r="I4" s="2"/>
    </row>
    <row r="5" spans="1:20" ht="34.5" customHeight="1" thickBot="1" x14ac:dyDescent="0.3">
      <c r="D5" s="4"/>
      <c r="E5" s="4"/>
      <c r="F5" s="91">
        <f>COUNTIFS(Base!Q:Q,"X",Base!V:V,"INICIO_RELACIONAMENTO_FORMAL")</f>
        <v>0</v>
      </c>
      <c r="G5" s="92"/>
      <c r="H5" s="93"/>
      <c r="I5" s="93"/>
      <c r="J5" s="91">
        <f>COUNTIFS(Base!Q:Q,"X",Base!V:V,"EM_ANALISE")</f>
        <v>0</v>
      </c>
      <c r="K5" s="93"/>
      <c r="L5" s="93"/>
      <c r="M5" s="93"/>
      <c r="N5" s="91">
        <f>COUNTIFS(Base!V:V,"EM_ANALISE",Base!S:S,"Expirado")</f>
        <v>0</v>
      </c>
      <c r="O5" s="93"/>
      <c r="P5" s="93"/>
      <c r="Q5" s="93"/>
      <c r="R5" s="91">
        <f>COUNTIFS(Base!V:V,"INICIO_RELACIONAMENTO_FORMAL",Base!S:S,"Expirada")</f>
        <v>0</v>
      </c>
    </row>
    <row r="6" spans="1:20" ht="15" customHeight="1" x14ac:dyDescent="0.25">
      <c r="E6" s="4"/>
      <c r="F6" s="4"/>
      <c r="G6" s="4"/>
    </row>
    <row r="7" spans="1:20" ht="15" customHeight="1" x14ac:dyDescent="0.25"/>
    <row r="8" spans="1:20" ht="15" customHeight="1" x14ac:dyDescent="0.25"/>
    <row r="9" spans="1:20" s="7" customFormat="1" x14ac:dyDescent="0.25">
      <c r="A9" s="1"/>
      <c r="B9" s="1"/>
      <c r="C9" s="1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</row>
    <row r="10" spans="1:20" x14ac:dyDescent="0.25"/>
    <row r="11" spans="1:20" x14ac:dyDescent="0.25"/>
    <row r="12" spans="1:20" x14ac:dyDescent="0.25"/>
    <row r="13" spans="1:20" x14ac:dyDescent="0.25"/>
    <row r="14" spans="1:20" s="3" customFormat="1" x14ac:dyDescent="0.25">
      <c r="A14" s="1"/>
      <c r="B14" s="32"/>
      <c r="C14" s="1"/>
    </row>
    <row r="15" spans="1:20" s="3" customFormat="1" ht="31.5" x14ac:dyDescent="0.25">
      <c r="A15" s="1"/>
      <c r="B15" s="1"/>
      <c r="C15" s="1"/>
      <c r="F15" s="6"/>
      <c r="J15" s="6"/>
      <c r="K15" s="4"/>
      <c r="L15" s="4"/>
      <c r="M15" s="4"/>
      <c r="N15" s="6"/>
      <c r="O15" s="4"/>
      <c r="P15" s="4"/>
      <c r="Q15" s="4"/>
      <c r="R15" s="6"/>
    </row>
    <row r="16" spans="1:20" s="3" customFormat="1" x14ac:dyDescent="0.25">
      <c r="A16" s="1"/>
      <c r="B16" s="1"/>
      <c r="C16" s="1"/>
    </row>
    <row r="17" spans="18:19" x14ac:dyDescent="0.25"/>
    <row r="18" spans="18:19" x14ac:dyDescent="0.25"/>
    <row r="19" spans="18:19" x14ac:dyDescent="0.25"/>
    <row r="20" spans="18:19" x14ac:dyDescent="0.25"/>
    <row r="21" spans="18:19" x14ac:dyDescent="0.25"/>
    <row r="22" spans="18:19" x14ac:dyDescent="0.25">
      <c r="R22" s="94"/>
      <c r="S22" s="94"/>
    </row>
    <row r="169" spans="4:22" ht="15.75" hidden="1" x14ac:dyDescent="0.25">
      <c r="D169" s="21" t="s">
        <v>10</v>
      </c>
      <c r="E169" s="20" t="s">
        <v>22</v>
      </c>
      <c r="F169" s="22" t="s">
        <v>20</v>
      </c>
      <c r="G169" s="23" t="s">
        <v>21</v>
      </c>
      <c r="H169" s="2" t="s">
        <v>3</v>
      </c>
      <c r="I169" s="2" t="s">
        <v>4</v>
      </c>
      <c r="J169" s="2" t="s">
        <v>163</v>
      </c>
      <c r="K169" s="24" t="s">
        <v>6</v>
      </c>
      <c r="L169" s="2" t="s">
        <v>7</v>
      </c>
      <c r="M169" s="2" t="s">
        <v>164</v>
      </c>
      <c r="N169" s="2" t="s">
        <v>9</v>
      </c>
      <c r="O169" s="21" t="s">
        <v>165</v>
      </c>
      <c r="P169" t="s">
        <v>165</v>
      </c>
      <c r="V169" s="2"/>
    </row>
    <row r="170" spans="4:22" hidden="1" x14ac:dyDescent="0.25">
      <c r="D170" s="17" t="s">
        <v>37</v>
      </c>
      <c r="E170" s="3">
        <v>823305</v>
      </c>
      <c r="F170" s="25"/>
      <c r="G170" s="26">
        <v>28108127000148</v>
      </c>
      <c r="H170" t="s">
        <v>34</v>
      </c>
      <c r="I170" t="s">
        <v>115</v>
      </c>
      <c r="J170">
        <v>51998226526</v>
      </c>
      <c r="K170" s="18">
        <v>50000</v>
      </c>
      <c r="L170" t="s">
        <v>35</v>
      </c>
      <c r="M170" t="s">
        <v>36</v>
      </c>
      <c r="N170" t="s">
        <v>27</v>
      </c>
      <c r="O170" s="19">
        <v>44580</v>
      </c>
      <c r="P170" s="9">
        <v>44580</v>
      </c>
      <c r="V170" t="s">
        <v>162</v>
      </c>
    </row>
    <row r="171" spans="4:22" hidden="1" x14ac:dyDescent="0.25">
      <c r="D171" s="17" t="s">
        <v>33</v>
      </c>
      <c r="E171" s="3">
        <v>825404</v>
      </c>
      <c r="F171" s="25"/>
      <c r="G171" s="26">
        <v>28871963000180</v>
      </c>
      <c r="H171" t="s">
        <v>32</v>
      </c>
      <c r="I171" t="s">
        <v>114</v>
      </c>
      <c r="J171">
        <v>53984792678</v>
      </c>
      <c r="K171" s="18">
        <v>100000</v>
      </c>
      <c r="L171" t="s">
        <v>25</v>
      </c>
      <c r="M171" t="s">
        <v>161</v>
      </c>
      <c r="N171" t="s">
        <v>27</v>
      </c>
      <c r="O171" s="19">
        <v>44580</v>
      </c>
      <c r="P171" s="9">
        <v>44580</v>
      </c>
      <c r="V171" t="s">
        <v>162</v>
      </c>
    </row>
    <row r="172" spans="4:22" hidden="1" x14ac:dyDescent="0.25">
      <c r="D172" s="17" t="s">
        <v>31</v>
      </c>
      <c r="E172" s="3">
        <v>825462</v>
      </c>
      <c r="F172" s="25"/>
      <c r="G172" s="26">
        <v>32187002000128</v>
      </c>
      <c r="H172" t="s">
        <v>30</v>
      </c>
      <c r="I172" t="s">
        <v>113</v>
      </c>
      <c r="J172">
        <v>51993267103</v>
      </c>
      <c r="K172" s="18">
        <v>120000</v>
      </c>
      <c r="L172" t="s">
        <v>25</v>
      </c>
      <c r="M172" t="s">
        <v>161</v>
      </c>
      <c r="N172" t="s">
        <v>27</v>
      </c>
      <c r="O172" s="19">
        <v>44580</v>
      </c>
      <c r="P172" s="9">
        <v>44580</v>
      </c>
      <c r="V172" t="s">
        <v>162</v>
      </c>
    </row>
    <row r="173" spans="4:22" hidden="1" x14ac:dyDescent="0.25">
      <c r="D173" s="17" t="s">
        <v>28</v>
      </c>
      <c r="E173" s="3">
        <v>825575</v>
      </c>
      <c r="F173" s="25"/>
      <c r="G173" s="26">
        <v>40159502000184</v>
      </c>
      <c r="H173" t="s">
        <v>24</v>
      </c>
      <c r="I173" t="s">
        <v>112</v>
      </c>
      <c r="J173">
        <v>51991137475</v>
      </c>
      <c r="K173" s="18">
        <v>40000</v>
      </c>
      <c r="L173" t="s">
        <v>25</v>
      </c>
      <c r="M173" t="s">
        <v>161</v>
      </c>
      <c r="N173" t="s">
        <v>27</v>
      </c>
      <c r="O173" s="19">
        <v>44580</v>
      </c>
      <c r="P173" s="9">
        <v>44580</v>
      </c>
      <c r="V173" t="s">
        <v>162</v>
      </c>
    </row>
    <row r="174" spans="4:22" hidden="1" x14ac:dyDescent="0.25">
      <c r="D174" s="17" t="s">
        <v>71</v>
      </c>
      <c r="E174">
        <v>827814</v>
      </c>
      <c r="F174" s="25"/>
      <c r="G174" s="26">
        <v>23227712000143</v>
      </c>
      <c r="H174" t="s">
        <v>70</v>
      </c>
      <c r="I174" t="s">
        <v>134</v>
      </c>
      <c r="J174">
        <v>54999282081</v>
      </c>
      <c r="K174" s="18">
        <v>50000</v>
      </c>
      <c r="L174" t="s">
        <v>35</v>
      </c>
      <c r="M174" t="s">
        <v>36</v>
      </c>
      <c r="N174" t="s">
        <v>27</v>
      </c>
      <c r="O174" s="19">
        <v>44580</v>
      </c>
      <c r="P174" s="9">
        <v>44580</v>
      </c>
      <c r="V174" t="s">
        <v>162</v>
      </c>
    </row>
    <row r="175" spans="4:22" hidden="1" x14ac:dyDescent="0.25">
      <c r="D175" s="17" t="s">
        <v>69</v>
      </c>
      <c r="E175">
        <v>827820</v>
      </c>
      <c r="F175" s="25"/>
      <c r="G175" s="26">
        <v>14613900000119</v>
      </c>
      <c r="H175" t="s">
        <v>68</v>
      </c>
      <c r="I175" t="s">
        <v>133</v>
      </c>
      <c r="J175">
        <v>51981741829</v>
      </c>
      <c r="K175" s="18">
        <v>50000</v>
      </c>
      <c r="L175" t="s">
        <v>25</v>
      </c>
      <c r="M175" t="s">
        <v>161</v>
      </c>
      <c r="N175" t="s">
        <v>27</v>
      </c>
      <c r="O175" s="19">
        <v>44580</v>
      </c>
      <c r="P175" s="9">
        <v>44580</v>
      </c>
      <c r="V175" t="s">
        <v>162</v>
      </c>
    </row>
    <row r="176" spans="4:22" hidden="1" x14ac:dyDescent="0.25">
      <c r="D176" s="27" t="s">
        <v>67</v>
      </c>
      <c r="E176">
        <v>827838</v>
      </c>
      <c r="F176" s="25"/>
      <c r="G176" s="26">
        <v>14213364000164</v>
      </c>
      <c r="H176" t="s">
        <v>66</v>
      </c>
      <c r="I176" t="s">
        <v>132</v>
      </c>
      <c r="J176">
        <v>53999774453</v>
      </c>
      <c r="K176" s="18">
        <v>150000</v>
      </c>
      <c r="L176" t="s">
        <v>35</v>
      </c>
      <c r="M176" t="s">
        <v>36</v>
      </c>
      <c r="N176" t="s">
        <v>27</v>
      </c>
      <c r="O176" s="19">
        <v>44580</v>
      </c>
      <c r="P176" s="9">
        <v>44580</v>
      </c>
      <c r="V176" t="s">
        <v>162</v>
      </c>
    </row>
    <row r="177" spans="4:22" hidden="1" x14ac:dyDescent="0.25">
      <c r="D177" s="17" t="s">
        <v>154</v>
      </c>
      <c r="E177">
        <v>828604</v>
      </c>
      <c r="F177" s="25"/>
      <c r="G177" s="26">
        <v>33211938000100</v>
      </c>
      <c r="H177" t="s">
        <v>65</v>
      </c>
      <c r="I177" t="s">
        <v>131</v>
      </c>
      <c r="J177">
        <v>54996444717</v>
      </c>
      <c r="K177" s="18">
        <v>25000</v>
      </c>
      <c r="L177" t="s">
        <v>35</v>
      </c>
      <c r="M177" t="s">
        <v>36</v>
      </c>
      <c r="N177" t="s">
        <v>27</v>
      </c>
      <c r="O177" s="19">
        <v>44580</v>
      </c>
      <c r="P177" s="9">
        <v>44580</v>
      </c>
      <c r="V177" t="s">
        <v>162</v>
      </c>
    </row>
    <row r="178" spans="4:22" hidden="1" x14ac:dyDescent="0.25">
      <c r="D178" s="17" t="s">
        <v>52</v>
      </c>
      <c r="E178">
        <v>828734</v>
      </c>
      <c r="F178" s="25"/>
      <c r="G178" s="26">
        <v>29349052000150</v>
      </c>
      <c r="H178" t="s">
        <v>64</v>
      </c>
      <c r="I178" t="s">
        <v>130</v>
      </c>
      <c r="J178">
        <v>51993265309</v>
      </c>
      <c r="K178" s="18">
        <v>150000</v>
      </c>
      <c r="L178" t="s">
        <v>25</v>
      </c>
      <c r="M178" t="s">
        <v>161</v>
      </c>
      <c r="N178" t="s">
        <v>27</v>
      </c>
      <c r="O178" s="19">
        <v>44580</v>
      </c>
      <c r="P178" s="9">
        <v>44580</v>
      </c>
      <c r="V178" t="s">
        <v>162</v>
      </c>
    </row>
    <row r="179" spans="4:22" hidden="1" x14ac:dyDescent="0.25">
      <c r="D179" s="17" t="s">
        <v>160</v>
      </c>
      <c r="E179">
        <v>829256</v>
      </c>
      <c r="F179" s="25"/>
      <c r="G179" s="26">
        <v>38173303000189</v>
      </c>
      <c r="H179" t="s">
        <v>63</v>
      </c>
      <c r="I179" t="s">
        <v>129</v>
      </c>
      <c r="J179">
        <v>51983484115</v>
      </c>
      <c r="K179" s="18">
        <v>60000</v>
      </c>
      <c r="L179" t="s">
        <v>25</v>
      </c>
      <c r="M179" t="s">
        <v>161</v>
      </c>
      <c r="N179" t="s">
        <v>27</v>
      </c>
      <c r="O179" s="19">
        <v>44580</v>
      </c>
      <c r="P179" s="9">
        <v>44580</v>
      </c>
      <c r="V179" t="s">
        <v>162</v>
      </c>
    </row>
    <row r="180" spans="4:22" hidden="1" x14ac:dyDescent="0.25">
      <c r="D180" s="28" t="s">
        <v>62</v>
      </c>
      <c r="E180">
        <v>829391</v>
      </c>
      <c r="F180" s="25"/>
      <c r="G180" s="26">
        <v>8286524000100</v>
      </c>
      <c r="H180" t="s">
        <v>61</v>
      </c>
      <c r="I180" t="s">
        <v>128</v>
      </c>
      <c r="J180">
        <v>54999710361</v>
      </c>
      <c r="K180" s="18">
        <v>400000</v>
      </c>
      <c r="L180" t="s">
        <v>25</v>
      </c>
      <c r="M180" t="s">
        <v>161</v>
      </c>
      <c r="N180" t="s">
        <v>27</v>
      </c>
      <c r="O180" s="19">
        <v>44580</v>
      </c>
      <c r="P180" s="9">
        <v>44580</v>
      </c>
      <c r="V180" t="s">
        <v>162</v>
      </c>
    </row>
    <row r="181" spans="4:22" hidden="1" x14ac:dyDescent="0.25">
      <c r="D181" s="17" t="s">
        <v>60</v>
      </c>
      <c r="E181">
        <v>830297</v>
      </c>
      <c r="F181" s="25"/>
      <c r="G181" s="26">
        <v>33606366000168</v>
      </c>
      <c r="H181" t="s">
        <v>59</v>
      </c>
      <c r="I181" t="s">
        <v>127</v>
      </c>
      <c r="J181">
        <v>51996660066</v>
      </c>
      <c r="K181" s="18">
        <v>20000</v>
      </c>
      <c r="L181" t="s">
        <v>35</v>
      </c>
      <c r="M181" t="s">
        <v>36</v>
      </c>
      <c r="N181" t="s">
        <v>27</v>
      </c>
      <c r="O181" s="19">
        <v>44580</v>
      </c>
      <c r="P181" s="9">
        <v>44580</v>
      </c>
      <c r="V181" t="s">
        <v>162</v>
      </c>
    </row>
    <row r="182" spans="4:22" hidden="1" x14ac:dyDescent="0.25">
      <c r="D182" s="17" t="s">
        <v>58</v>
      </c>
      <c r="E182">
        <v>830434</v>
      </c>
      <c r="F182" s="25"/>
      <c r="G182" s="26">
        <v>39715789000100</v>
      </c>
      <c r="H182" t="s">
        <v>57</v>
      </c>
      <c r="I182" t="s">
        <v>126</v>
      </c>
      <c r="J182">
        <v>55996793655</v>
      </c>
      <c r="K182" s="18">
        <v>150000</v>
      </c>
      <c r="L182" t="s">
        <v>25</v>
      </c>
      <c r="M182" t="s">
        <v>161</v>
      </c>
      <c r="N182" t="s">
        <v>27</v>
      </c>
      <c r="O182" s="19">
        <v>44580</v>
      </c>
      <c r="P182" s="9">
        <v>44580</v>
      </c>
      <c r="V182" t="s">
        <v>162</v>
      </c>
    </row>
    <row r="183" spans="4:22" hidden="1" x14ac:dyDescent="0.25">
      <c r="D183" s="17" t="s">
        <v>56</v>
      </c>
      <c r="E183">
        <v>832963</v>
      </c>
      <c r="F183" s="25"/>
      <c r="G183" s="26">
        <v>35476570000137</v>
      </c>
      <c r="H183" t="s">
        <v>55</v>
      </c>
      <c r="I183" t="s">
        <v>125</v>
      </c>
      <c r="J183">
        <v>55996544159</v>
      </c>
      <c r="K183" s="18">
        <v>150000</v>
      </c>
      <c r="L183" t="s">
        <v>35</v>
      </c>
      <c r="M183" t="s">
        <v>36</v>
      </c>
      <c r="N183" t="s">
        <v>27</v>
      </c>
      <c r="O183" s="19">
        <v>44580</v>
      </c>
      <c r="P183" s="9">
        <v>44580</v>
      </c>
      <c r="V183" t="s">
        <v>162</v>
      </c>
    </row>
    <row r="184" spans="4:22" hidden="1" x14ac:dyDescent="0.25">
      <c r="D184" s="17" t="s">
        <v>54</v>
      </c>
      <c r="E184">
        <v>833206</v>
      </c>
      <c r="F184" s="25"/>
      <c r="G184" s="26">
        <v>16561192000145</v>
      </c>
      <c r="H184" t="s">
        <v>53</v>
      </c>
      <c r="I184" t="s">
        <v>124</v>
      </c>
      <c r="J184">
        <v>51993297827</v>
      </c>
      <c r="K184" s="18">
        <v>60000</v>
      </c>
      <c r="L184" t="s">
        <v>25</v>
      </c>
      <c r="M184" t="s">
        <v>161</v>
      </c>
      <c r="N184" t="s">
        <v>27</v>
      </c>
      <c r="O184" s="19">
        <v>44580</v>
      </c>
      <c r="P184" s="9">
        <v>44580</v>
      </c>
      <c r="V184" t="s">
        <v>162</v>
      </c>
    </row>
    <row r="185" spans="4:22" hidden="1" x14ac:dyDescent="0.25">
      <c r="D185" s="17" t="s">
        <v>52</v>
      </c>
      <c r="E185">
        <v>833615</v>
      </c>
      <c r="F185" s="25"/>
      <c r="G185" s="26">
        <v>36183558000105</v>
      </c>
      <c r="H185" t="s">
        <v>51</v>
      </c>
      <c r="I185" t="s">
        <v>123</v>
      </c>
      <c r="J185">
        <v>51992575771</v>
      </c>
      <c r="K185" s="18">
        <v>20000</v>
      </c>
      <c r="L185" t="s">
        <v>25</v>
      </c>
      <c r="M185" t="s">
        <v>161</v>
      </c>
      <c r="N185" t="s">
        <v>27</v>
      </c>
      <c r="O185" s="19">
        <v>44580</v>
      </c>
      <c r="P185" s="9">
        <v>44580</v>
      </c>
      <c r="V185" t="s">
        <v>162</v>
      </c>
    </row>
    <row r="186" spans="4:22" hidden="1" x14ac:dyDescent="0.25">
      <c r="D186" s="17" t="s">
        <v>49</v>
      </c>
      <c r="E186">
        <v>833619</v>
      </c>
      <c r="F186" s="25"/>
      <c r="G186" s="26">
        <v>37681984000123</v>
      </c>
      <c r="H186" t="s">
        <v>50</v>
      </c>
      <c r="I186" t="s">
        <v>122</v>
      </c>
      <c r="J186">
        <v>55999515222</v>
      </c>
      <c r="K186" s="18">
        <v>100000</v>
      </c>
      <c r="L186" t="s">
        <v>25</v>
      </c>
      <c r="M186" t="s">
        <v>161</v>
      </c>
      <c r="N186" t="s">
        <v>27</v>
      </c>
      <c r="O186" s="19">
        <v>44580</v>
      </c>
      <c r="P186" s="9">
        <v>44580</v>
      </c>
      <c r="V186" t="s">
        <v>162</v>
      </c>
    </row>
    <row r="187" spans="4:22" hidden="1" x14ac:dyDescent="0.25">
      <c r="D187" s="17" t="s">
        <v>49</v>
      </c>
      <c r="E187">
        <v>834209</v>
      </c>
      <c r="F187" s="25"/>
      <c r="G187" s="26">
        <v>25351194000109</v>
      </c>
      <c r="H187" t="s">
        <v>48</v>
      </c>
      <c r="I187" t="s">
        <v>121</v>
      </c>
      <c r="J187">
        <v>55997231645</v>
      </c>
      <c r="K187" s="18">
        <v>100000</v>
      </c>
      <c r="L187" t="s">
        <v>25</v>
      </c>
      <c r="M187" t="s">
        <v>161</v>
      </c>
      <c r="N187" t="s">
        <v>27</v>
      </c>
      <c r="O187" s="19">
        <v>44580</v>
      </c>
      <c r="P187" s="9">
        <v>44580</v>
      </c>
      <c r="V187" t="s">
        <v>162</v>
      </c>
    </row>
    <row r="188" spans="4:22" ht="15.75" hidden="1" x14ac:dyDescent="0.25">
      <c r="D188" s="29" t="s">
        <v>47</v>
      </c>
      <c r="E188">
        <v>834280</v>
      </c>
      <c r="F188" s="25"/>
      <c r="G188" s="26">
        <v>33708789000199</v>
      </c>
      <c r="H188" t="s">
        <v>46</v>
      </c>
      <c r="I188" t="s">
        <v>120</v>
      </c>
      <c r="J188">
        <v>54991141899</v>
      </c>
      <c r="K188" s="18">
        <v>45000</v>
      </c>
      <c r="L188" t="s">
        <v>35</v>
      </c>
      <c r="M188" t="s">
        <v>36</v>
      </c>
      <c r="N188" t="s">
        <v>27</v>
      </c>
      <c r="O188" s="19">
        <v>44580</v>
      </c>
      <c r="P188" s="9">
        <v>44580</v>
      </c>
      <c r="V188" t="s">
        <v>162</v>
      </c>
    </row>
    <row r="189" spans="4:22" hidden="1" x14ac:dyDescent="0.25">
      <c r="D189" s="17" t="s">
        <v>45</v>
      </c>
      <c r="E189">
        <v>834568</v>
      </c>
      <c r="F189" s="25"/>
      <c r="G189" s="26">
        <v>27660553000127</v>
      </c>
      <c r="H189" t="s">
        <v>44</v>
      </c>
      <c r="I189" t="s">
        <v>119</v>
      </c>
      <c r="J189">
        <v>54991534506</v>
      </c>
      <c r="K189" s="18">
        <v>30000</v>
      </c>
      <c r="L189" t="s">
        <v>25</v>
      </c>
      <c r="M189" t="s">
        <v>161</v>
      </c>
      <c r="N189" t="s">
        <v>27</v>
      </c>
      <c r="O189" s="19">
        <v>44580</v>
      </c>
      <c r="P189" s="9">
        <v>44580</v>
      </c>
      <c r="V189" t="s">
        <v>162</v>
      </c>
    </row>
    <row r="190" spans="4:22" hidden="1" x14ac:dyDescent="0.25">
      <c r="D190" s="17" t="s">
        <v>43</v>
      </c>
      <c r="E190">
        <v>835106</v>
      </c>
      <c r="F190" s="25"/>
      <c r="G190" s="26">
        <v>13972048000103</v>
      </c>
      <c r="H190" t="s">
        <v>42</v>
      </c>
      <c r="I190" t="s">
        <v>118</v>
      </c>
      <c r="J190">
        <v>51996139501</v>
      </c>
      <c r="K190" s="18">
        <v>50000</v>
      </c>
      <c r="L190" t="s">
        <v>25</v>
      </c>
      <c r="M190" t="s">
        <v>161</v>
      </c>
      <c r="N190" t="s">
        <v>27</v>
      </c>
      <c r="O190" s="19">
        <v>44580</v>
      </c>
      <c r="P190" s="9">
        <v>44580</v>
      </c>
      <c r="V190" t="s">
        <v>162</v>
      </c>
    </row>
    <row r="191" spans="4:22" hidden="1" x14ac:dyDescent="0.25">
      <c r="D191" s="17" t="s">
        <v>41</v>
      </c>
      <c r="E191">
        <v>835923</v>
      </c>
      <c r="F191" s="25"/>
      <c r="G191" s="26">
        <v>35123788000108</v>
      </c>
      <c r="H191" t="s">
        <v>40</v>
      </c>
      <c r="I191" t="s">
        <v>117</v>
      </c>
      <c r="J191">
        <v>54984388040</v>
      </c>
      <c r="K191" s="18">
        <v>80000</v>
      </c>
      <c r="L191" t="s">
        <v>35</v>
      </c>
      <c r="M191" t="s">
        <v>36</v>
      </c>
      <c r="N191" t="s">
        <v>27</v>
      </c>
      <c r="O191" s="19">
        <v>44580</v>
      </c>
      <c r="P191" s="9">
        <v>44580</v>
      </c>
      <c r="V191" t="s">
        <v>162</v>
      </c>
    </row>
    <row r="192" spans="4:22" hidden="1" x14ac:dyDescent="0.25">
      <c r="D192" s="17" t="s">
        <v>39</v>
      </c>
      <c r="E192" s="3">
        <v>835941</v>
      </c>
      <c r="F192" s="25"/>
      <c r="G192" s="26">
        <v>11494035000140</v>
      </c>
      <c r="H192" t="s">
        <v>38</v>
      </c>
      <c r="I192" t="s">
        <v>116</v>
      </c>
      <c r="J192">
        <v>54996759547</v>
      </c>
      <c r="K192" s="18">
        <v>250000</v>
      </c>
      <c r="L192" t="s">
        <v>25</v>
      </c>
      <c r="M192" t="s">
        <v>161</v>
      </c>
      <c r="N192" t="s">
        <v>27</v>
      </c>
      <c r="O192" s="19">
        <v>44580</v>
      </c>
      <c r="P192" s="9">
        <v>44580</v>
      </c>
      <c r="V192" t="s">
        <v>162</v>
      </c>
    </row>
    <row r="193" spans="4:22" ht="15.75" hidden="1" x14ac:dyDescent="0.25">
      <c r="D193" s="17" t="s">
        <v>108</v>
      </c>
      <c r="E193" s="30">
        <v>836460</v>
      </c>
      <c r="F193" s="25"/>
      <c r="G193" s="26">
        <v>32981023000110</v>
      </c>
      <c r="H193" t="s">
        <v>107</v>
      </c>
      <c r="I193" t="s">
        <v>152</v>
      </c>
      <c r="J193">
        <v>41992010167</v>
      </c>
      <c r="K193">
        <v>150000</v>
      </c>
      <c r="L193" t="s">
        <v>25</v>
      </c>
      <c r="M193" t="s">
        <v>161</v>
      </c>
      <c r="N193" t="s">
        <v>27</v>
      </c>
      <c r="O193" s="19">
        <v>44585</v>
      </c>
      <c r="P193" s="9">
        <v>44585</v>
      </c>
      <c r="V193" t="s">
        <v>162</v>
      </c>
    </row>
    <row r="194" spans="4:22" ht="15.75" hidden="1" x14ac:dyDescent="0.25">
      <c r="D194" s="17" t="s">
        <v>106</v>
      </c>
      <c r="E194" s="30">
        <v>837125</v>
      </c>
      <c r="F194" s="25"/>
      <c r="G194" s="26">
        <v>13489395000180</v>
      </c>
      <c r="H194" t="s">
        <v>105</v>
      </c>
      <c r="I194" t="s">
        <v>151</v>
      </c>
      <c r="J194">
        <v>55999572282</v>
      </c>
      <c r="K194">
        <v>15000</v>
      </c>
      <c r="L194" t="s">
        <v>35</v>
      </c>
      <c r="M194" t="s">
        <v>36</v>
      </c>
      <c r="N194" t="s">
        <v>27</v>
      </c>
      <c r="O194" s="19">
        <v>44585</v>
      </c>
      <c r="P194" s="9">
        <v>44585</v>
      </c>
      <c r="V194" t="s">
        <v>162</v>
      </c>
    </row>
    <row r="195" spans="4:22" ht="15.75" hidden="1" x14ac:dyDescent="0.25">
      <c r="D195" s="17" t="s">
        <v>49</v>
      </c>
      <c r="E195" s="30">
        <v>837413</v>
      </c>
      <c r="F195" s="25"/>
      <c r="G195" s="26">
        <v>34986564000167</v>
      </c>
      <c r="H195" t="s">
        <v>104</v>
      </c>
      <c r="I195" t="s">
        <v>150</v>
      </c>
      <c r="J195">
        <v>55999873304</v>
      </c>
      <c r="K195">
        <v>200000</v>
      </c>
      <c r="L195" t="s">
        <v>25</v>
      </c>
      <c r="M195" t="s">
        <v>161</v>
      </c>
      <c r="N195" t="s">
        <v>27</v>
      </c>
      <c r="O195" s="19">
        <v>44585</v>
      </c>
      <c r="P195" s="9">
        <v>44585</v>
      </c>
      <c r="V195" t="s">
        <v>162</v>
      </c>
    </row>
    <row r="196" spans="4:22" ht="15.75" hidden="1" x14ac:dyDescent="0.25">
      <c r="D196" s="17" t="s">
        <v>103</v>
      </c>
      <c r="E196" s="30">
        <v>837680</v>
      </c>
      <c r="F196" s="25"/>
      <c r="G196" s="26">
        <v>20229476000106</v>
      </c>
      <c r="H196" t="s">
        <v>102</v>
      </c>
      <c r="I196" t="s">
        <v>149</v>
      </c>
      <c r="J196">
        <v>51996205198</v>
      </c>
      <c r="K196">
        <v>250000</v>
      </c>
      <c r="L196" t="s">
        <v>25</v>
      </c>
      <c r="M196" t="s">
        <v>161</v>
      </c>
      <c r="N196" t="s">
        <v>27</v>
      </c>
      <c r="O196" s="19">
        <v>44585</v>
      </c>
      <c r="P196" s="9">
        <v>44585</v>
      </c>
      <c r="V196" t="s">
        <v>162</v>
      </c>
    </row>
    <row r="197" spans="4:22" ht="15.75" hidden="1" x14ac:dyDescent="0.25">
      <c r="D197" s="28" t="s">
        <v>101</v>
      </c>
      <c r="E197" s="30">
        <v>837956</v>
      </c>
      <c r="F197" s="25"/>
      <c r="G197" s="26">
        <v>26313511000157</v>
      </c>
      <c r="H197" t="s">
        <v>100</v>
      </c>
      <c r="I197" t="s">
        <v>148</v>
      </c>
      <c r="J197">
        <v>51995992231</v>
      </c>
      <c r="K197">
        <v>100000</v>
      </c>
      <c r="L197" t="s">
        <v>25</v>
      </c>
      <c r="M197" t="s">
        <v>161</v>
      </c>
      <c r="N197" t="s">
        <v>27</v>
      </c>
      <c r="O197" s="19">
        <v>44585</v>
      </c>
      <c r="P197" s="9">
        <v>44585</v>
      </c>
      <c r="V197" t="s">
        <v>162</v>
      </c>
    </row>
    <row r="198" spans="4:22" hidden="1" x14ac:dyDescent="0.25">
      <c r="D198" s="17" t="s">
        <v>37</v>
      </c>
      <c r="E198" s="31">
        <v>838851</v>
      </c>
      <c r="F198" s="25"/>
      <c r="G198" s="26">
        <v>33910749000125</v>
      </c>
      <c r="H198" t="s">
        <v>99</v>
      </c>
      <c r="I198" t="s">
        <v>147</v>
      </c>
      <c r="J198">
        <v>51996590860</v>
      </c>
      <c r="K198">
        <v>50000</v>
      </c>
      <c r="L198" t="s">
        <v>25</v>
      </c>
      <c r="M198" t="s">
        <v>161</v>
      </c>
      <c r="N198" t="s">
        <v>27</v>
      </c>
      <c r="O198" s="19">
        <v>44585</v>
      </c>
      <c r="P198" s="9">
        <v>44585</v>
      </c>
      <c r="V198" t="s">
        <v>162</v>
      </c>
    </row>
    <row r="199" spans="4:22" ht="15.75" hidden="1" x14ac:dyDescent="0.25">
      <c r="D199" s="17" t="s">
        <v>159</v>
      </c>
      <c r="E199" s="30">
        <v>841798</v>
      </c>
      <c r="F199" s="25"/>
      <c r="G199" s="26">
        <v>21910686000128</v>
      </c>
      <c r="H199" t="s">
        <v>98</v>
      </c>
      <c r="I199" t="s">
        <v>146</v>
      </c>
      <c r="J199">
        <v>54999365339</v>
      </c>
      <c r="K199" s="18">
        <v>150000</v>
      </c>
      <c r="L199" t="s">
        <v>25</v>
      </c>
      <c r="M199" t="s">
        <v>161</v>
      </c>
      <c r="N199" t="s">
        <v>27</v>
      </c>
      <c r="O199" s="19">
        <v>44616</v>
      </c>
      <c r="P199" s="9">
        <v>44616</v>
      </c>
      <c r="V199" t="s">
        <v>162</v>
      </c>
    </row>
    <row r="200" spans="4:22" ht="15.75" hidden="1" x14ac:dyDescent="0.25">
      <c r="D200" s="17" t="s">
        <v>97</v>
      </c>
      <c r="E200" s="30">
        <v>842276</v>
      </c>
      <c r="F200" s="25"/>
      <c r="G200" s="26">
        <v>38711085000199</v>
      </c>
      <c r="H200" t="s">
        <v>95</v>
      </c>
      <c r="I200" t="s">
        <v>145</v>
      </c>
      <c r="J200">
        <v>55996276950</v>
      </c>
      <c r="K200" s="18">
        <v>50000</v>
      </c>
      <c r="L200" t="s">
        <v>96</v>
      </c>
      <c r="M200" t="s">
        <v>76</v>
      </c>
      <c r="N200" t="s">
        <v>27</v>
      </c>
      <c r="O200" s="19">
        <v>44616</v>
      </c>
      <c r="P200" s="9">
        <v>44616</v>
      </c>
      <c r="V200" t="s">
        <v>162</v>
      </c>
    </row>
    <row r="201" spans="4:22" ht="15.75" hidden="1" x14ac:dyDescent="0.25">
      <c r="D201" s="17" t="s">
        <v>94</v>
      </c>
      <c r="E201" s="30">
        <v>842554</v>
      </c>
      <c r="F201" s="25"/>
      <c r="G201" s="26">
        <v>38033794000162</v>
      </c>
      <c r="H201" t="s">
        <v>93</v>
      </c>
      <c r="I201" t="s">
        <v>144</v>
      </c>
      <c r="J201">
        <v>55999946934</v>
      </c>
      <c r="K201" s="18">
        <v>250000</v>
      </c>
      <c r="L201" t="s">
        <v>75</v>
      </c>
      <c r="M201" t="s">
        <v>76</v>
      </c>
      <c r="N201" t="s">
        <v>27</v>
      </c>
      <c r="O201" s="19">
        <v>44616</v>
      </c>
      <c r="P201" s="9">
        <v>44616</v>
      </c>
      <c r="V201" t="s">
        <v>162</v>
      </c>
    </row>
    <row r="202" spans="4:22" ht="15.75" hidden="1" x14ac:dyDescent="0.25">
      <c r="D202" s="17" t="s">
        <v>92</v>
      </c>
      <c r="E202" s="30">
        <v>842924</v>
      </c>
      <c r="F202" s="25"/>
      <c r="G202" s="26">
        <v>10241151000195</v>
      </c>
      <c r="H202" t="s">
        <v>91</v>
      </c>
      <c r="I202" t="s">
        <v>143</v>
      </c>
      <c r="J202">
        <v>54999321311</v>
      </c>
      <c r="K202" s="18">
        <v>150000</v>
      </c>
      <c r="L202" t="s">
        <v>25</v>
      </c>
      <c r="M202" t="s">
        <v>161</v>
      </c>
      <c r="N202" t="s">
        <v>27</v>
      </c>
      <c r="O202" s="19">
        <v>44616</v>
      </c>
      <c r="P202" s="9">
        <v>44616</v>
      </c>
      <c r="V202" t="s">
        <v>162</v>
      </c>
    </row>
    <row r="203" spans="4:22" ht="15.75" hidden="1" x14ac:dyDescent="0.25">
      <c r="D203" s="17" t="s">
        <v>90</v>
      </c>
      <c r="E203" s="30">
        <v>843069</v>
      </c>
      <c r="F203" s="25"/>
      <c r="G203" s="26">
        <v>35847208000125</v>
      </c>
      <c r="H203" t="s">
        <v>89</v>
      </c>
      <c r="I203" t="s">
        <v>142</v>
      </c>
      <c r="J203">
        <v>51982720731</v>
      </c>
      <c r="K203" s="18">
        <v>15000</v>
      </c>
      <c r="L203" t="s">
        <v>35</v>
      </c>
      <c r="M203" t="s">
        <v>36</v>
      </c>
      <c r="N203" t="s">
        <v>27</v>
      </c>
      <c r="O203" s="19">
        <v>44616</v>
      </c>
      <c r="P203" s="9">
        <v>44616</v>
      </c>
      <c r="V203" t="s">
        <v>162</v>
      </c>
    </row>
    <row r="204" spans="4:22" ht="15.75" hidden="1" x14ac:dyDescent="0.25">
      <c r="D204" s="17" t="s">
        <v>88</v>
      </c>
      <c r="E204" s="30">
        <v>843339</v>
      </c>
      <c r="F204" s="25"/>
      <c r="G204" s="26">
        <v>7696009000128</v>
      </c>
      <c r="H204" t="s">
        <v>87</v>
      </c>
      <c r="I204" t="s">
        <v>141</v>
      </c>
      <c r="J204">
        <v>51991154810</v>
      </c>
      <c r="K204" s="18">
        <v>150000</v>
      </c>
      <c r="L204" t="s">
        <v>35</v>
      </c>
      <c r="M204" t="s">
        <v>36</v>
      </c>
      <c r="N204" t="s">
        <v>27</v>
      </c>
      <c r="O204" s="19">
        <v>44616</v>
      </c>
      <c r="P204" s="9">
        <v>44616</v>
      </c>
      <c r="V204" t="s">
        <v>162</v>
      </c>
    </row>
    <row r="205" spans="4:22" hidden="1" x14ac:dyDescent="0.25">
      <c r="D205" s="17" t="s">
        <v>153</v>
      </c>
      <c r="E205">
        <v>844794</v>
      </c>
      <c r="F205" s="25"/>
      <c r="G205" s="26">
        <v>34114008000109</v>
      </c>
      <c r="H205" t="s">
        <v>86</v>
      </c>
      <c r="I205" t="s">
        <v>140</v>
      </c>
      <c r="J205">
        <v>51982211053</v>
      </c>
      <c r="K205" s="18">
        <v>75000</v>
      </c>
      <c r="L205" t="s">
        <v>25</v>
      </c>
      <c r="M205" t="s">
        <v>161</v>
      </c>
      <c r="N205" t="s">
        <v>27</v>
      </c>
      <c r="O205" s="19">
        <v>44616</v>
      </c>
      <c r="P205" s="9">
        <v>44616</v>
      </c>
      <c r="V205" t="s">
        <v>162</v>
      </c>
    </row>
    <row r="206" spans="4:22" ht="15.75" hidden="1" x14ac:dyDescent="0.25">
      <c r="D206" s="17" t="s">
        <v>85</v>
      </c>
      <c r="E206" s="30">
        <v>845435</v>
      </c>
      <c r="F206" s="25"/>
      <c r="G206" s="26">
        <v>33951956000128</v>
      </c>
      <c r="H206" t="s">
        <v>84</v>
      </c>
      <c r="I206" t="s">
        <v>139</v>
      </c>
      <c r="J206">
        <v>51998278224</v>
      </c>
      <c r="K206">
        <v>150000</v>
      </c>
      <c r="L206" t="s">
        <v>35</v>
      </c>
      <c r="M206" t="s">
        <v>36</v>
      </c>
      <c r="N206" t="s">
        <v>27</v>
      </c>
      <c r="O206" s="19">
        <v>44585</v>
      </c>
      <c r="P206" s="9">
        <v>44585</v>
      </c>
      <c r="V206" t="s">
        <v>162</v>
      </c>
    </row>
    <row r="207" spans="4:22" hidden="1" x14ac:dyDescent="0.25">
      <c r="D207" s="17" t="s">
        <v>81</v>
      </c>
      <c r="E207">
        <v>845730</v>
      </c>
      <c r="F207" s="25"/>
      <c r="G207" s="26">
        <v>88762265000178</v>
      </c>
      <c r="H207" t="s">
        <v>80</v>
      </c>
      <c r="I207" t="s">
        <v>138</v>
      </c>
      <c r="J207">
        <v>51991258472</v>
      </c>
      <c r="K207" s="18">
        <v>600000</v>
      </c>
      <c r="L207" t="s">
        <v>25</v>
      </c>
      <c r="M207" t="s">
        <v>161</v>
      </c>
      <c r="N207" t="s">
        <v>27</v>
      </c>
      <c r="O207" s="19">
        <v>44616</v>
      </c>
      <c r="P207" s="9">
        <v>44616</v>
      </c>
      <c r="V207" t="s">
        <v>162</v>
      </c>
    </row>
    <row r="208" spans="4:22" ht="15.75" hidden="1" x14ac:dyDescent="0.25">
      <c r="D208" s="17" t="s">
        <v>79</v>
      </c>
      <c r="E208" s="30">
        <v>845869</v>
      </c>
      <c r="F208" s="25"/>
      <c r="G208" s="26">
        <v>28658558000188</v>
      </c>
      <c r="H208" t="s">
        <v>78</v>
      </c>
      <c r="I208" t="s">
        <v>137</v>
      </c>
      <c r="J208">
        <v>51993357879</v>
      </c>
      <c r="K208" s="18">
        <v>20000</v>
      </c>
      <c r="L208" t="s">
        <v>25</v>
      </c>
      <c r="M208" t="s">
        <v>161</v>
      </c>
      <c r="N208" t="s">
        <v>27</v>
      </c>
      <c r="O208" s="19">
        <v>44585</v>
      </c>
      <c r="P208" s="9">
        <v>44585</v>
      </c>
      <c r="V208" t="s">
        <v>162</v>
      </c>
    </row>
    <row r="209" spans="4:22" ht="15.75" hidden="1" x14ac:dyDescent="0.25">
      <c r="D209" s="17" t="s">
        <v>77</v>
      </c>
      <c r="E209" s="30">
        <v>846219</v>
      </c>
      <c r="F209" s="25"/>
      <c r="G209" s="26">
        <v>15596063000120</v>
      </c>
      <c r="H209" t="s">
        <v>74</v>
      </c>
      <c r="I209" t="s">
        <v>136</v>
      </c>
      <c r="J209">
        <v>53997009992</v>
      </c>
      <c r="K209" s="18">
        <v>150000</v>
      </c>
      <c r="L209" t="s">
        <v>75</v>
      </c>
      <c r="M209" t="s">
        <v>76</v>
      </c>
      <c r="N209" t="s">
        <v>27</v>
      </c>
      <c r="O209" s="19">
        <v>44585</v>
      </c>
      <c r="P209" s="9">
        <v>44585</v>
      </c>
      <c r="V209" t="s">
        <v>162</v>
      </c>
    </row>
    <row r="210" spans="4:22" ht="15.75" hidden="1" x14ac:dyDescent="0.25">
      <c r="D210" s="17" t="s">
        <v>73</v>
      </c>
      <c r="E210" s="30">
        <v>846297</v>
      </c>
      <c r="F210" s="25"/>
      <c r="G210" s="26">
        <v>19002086000110</v>
      </c>
      <c r="H210" t="s">
        <v>72</v>
      </c>
      <c r="I210" t="s">
        <v>135</v>
      </c>
      <c r="J210">
        <v>55996897727</v>
      </c>
      <c r="K210" s="18">
        <v>200000</v>
      </c>
      <c r="L210" t="s">
        <v>25</v>
      </c>
      <c r="M210" t="s">
        <v>161</v>
      </c>
      <c r="N210" t="s">
        <v>27</v>
      </c>
      <c r="O210" s="19">
        <v>44585</v>
      </c>
      <c r="P210" s="9">
        <v>44585</v>
      </c>
      <c r="V210" t="s">
        <v>162</v>
      </c>
    </row>
    <row r="211" spans="4:22" hidden="1" x14ac:dyDescent="0.25">
      <c r="D211" s="17" t="s">
        <v>45</v>
      </c>
      <c r="E211">
        <v>846463</v>
      </c>
    </row>
  </sheetData>
  <conditionalFormatting sqref="E182">
    <cfRule type="duplicateValues" dxfId="503" priority="97"/>
  </conditionalFormatting>
  <conditionalFormatting sqref="D182">
    <cfRule type="beginsWith" dxfId="502" priority="96" operator="beginsWith" text="Sem E">
      <formula>LEFT(D182,LEN("Sem E"))="Sem E"</formula>
    </cfRule>
  </conditionalFormatting>
  <conditionalFormatting sqref="E183">
    <cfRule type="duplicateValues" dxfId="501" priority="95"/>
  </conditionalFormatting>
  <conditionalFormatting sqref="D183">
    <cfRule type="beginsWith" dxfId="500" priority="94" operator="beginsWith" text="Sem E">
      <formula>LEFT(D183,LEN("Sem E"))="Sem E"</formula>
    </cfRule>
  </conditionalFormatting>
  <conditionalFormatting sqref="E184">
    <cfRule type="duplicateValues" dxfId="499" priority="93"/>
  </conditionalFormatting>
  <conditionalFormatting sqref="D184">
    <cfRule type="beginsWith" dxfId="498" priority="92" operator="beginsWith" text="Sem E">
      <formula>LEFT(D184,LEN("Sem E"))="Sem E"</formula>
    </cfRule>
  </conditionalFormatting>
  <conditionalFormatting sqref="E185">
    <cfRule type="duplicateValues" dxfId="497" priority="91"/>
  </conditionalFormatting>
  <conditionalFormatting sqref="D185">
    <cfRule type="beginsWith" dxfId="496" priority="90" operator="beginsWith" text="Sem E">
      <formula>LEFT(D185,LEN("Sem E"))="Sem E"</formula>
    </cfRule>
  </conditionalFormatting>
  <conditionalFormatting sqref="E186">
    <cfRule type="duplicateValues" dxfId="495" priority="89"/>
  </conditionalFormatting>
  <conditionalFormatting sqref="D186">
    <cfRule type="beginsWith" dxfId="494" priority="88" operator="beginsWith" text="Sem E">
      <formula>LEFT(D186,LEN("Sem E"))="Sem E"</formula>
    </cfRule>
  </conditionalFormatting>
  <conditionalFormatting sqref="E187">
    <cfRule type="duplicateValues" dxfId="493" priority="87"/>
  </conditionalFormatting>
  <conditionalFormatting sqref="D187">
    <cfRule type="beginsWith" dxfId="492" priority="86" operator="beginsWith" text="Sem E">
      <formula>LEFT(D187,LEN("Sem E"))="Sem E"</formula>
    </cfRule>
  </conditionalFormatting>
  <conditionalFormatting sqref="E188">
    <cfRule type="duplicateValues" dxfId="491" priority="85"/>
  </conditionalFormatting>
  <conditionalFormatting sqref="D188">
    <cfRule type="beginsWith" dxfId="490" priority="84" operator="beginsWith" text="Sem E">
      <formula>LEFT(D188,LEN("Sem E"))="Sem E"</formula>
    </cfRule>
  </conditionalFormatting>
  <conditionalFormatting sqref="E189">
    <cfRule type="duplicateValues" dxfId="489" priority="83"/>
  </conditionalFormatting>
  <conditionalFormatting sqref="D189">
    <cfRule type="beginsWith" dxfId="488" priority="82" operator="beginsWith" text="Sem E">
      <formula>LEFT(D189,LEN("Sem E"))="Sem E"</formula>
    </cfRule>
  </conditionalFormatting>
  <conditionalFormatting sqref="E190">
    <cfRule type="duplicateValues" dxfId="487" priority="81"/>
  </conditionalFormatting>
  <conditionalFormatting sqref="D190">
    <cfRule type="beginsWith" dxfId="486" priority="80" operator="beginsWith" text="Sem E">
      <formula>LEFT(D190,LEN("Sem E"))="Sem E"</formula>
    </cfRule>
  </conditionalFormatting>
  <conditionalFormatting sqref="E191">
    <cfRule type="duplicateValues" dxfId="485" priority="79"/>
  </conditionalFormatting>
  <conditionalFormatting sqref="D191">
    <cfRule type="beginsWith" dxfId="484" priority="78" operator="beginsWith" text="Sem E">
      <formula>LEFT(D191,LEN("Sem E"))="Sem E"</formula>
    </cfRule>
  </conditionalFormatting>
  <conditionalFormatting sqref="E192">
    <cfRule type="duplicateValues" dxfId="483" priority="77"/>
  </conditionalFormatting>
  <conditionalFormatting sqref="D192">
    <cfRule type="beginsWith" dxfId="482" priority="76" operator="beginsWith" text="Sem E">
      <formula>LEFT(D192,LEN("Sem E"))="Sem E"</formula>
    </cfRule>
  </conditionalFormatting>
  <conditionalFormatting sqref="E193">
    <cfRule type="duplicateValues" dxfId="481" priority="75"/>
  </conditionalFormatting>
  <conditionalFormatting sqref="D193">
    <cfRule type="beginsWith" dxfId="480" priority="74" operator="beginsWith" text="Sem E">
      <formula>LEFT(D193,LEN("Sem E"))="Sem E"</formula>
    </cfRule>
  </conditionalFormatting>
  <conditionalFormatting sqref="E194">
    <cfRule type="duplicateValues" dxfId="479" priority="73"/>
  </conditionalFormatting>
  <conditionalFormatting sqref="D194">
    <cfRule type="beginsWith" dxfId="478" priority="72" operator="beginsWith" text="Sem E">
      <formula>LEFT(D194,LEN("Sem E"))="Sem E"</formula>
    </cfRule>
  </conditionalFormatting>
  <conditionalFormatting sqref="E195">
    <cfRule type="duplicateValues" dxfId="477" priority="71"/>
  </conditionalFormatting>
  <conditionalFormatting sqref="D195">
    <cfRule type="beginsWith" dxfId="476" priority="70" operator="beginsWith" text="Sem E">
      <formula>LEFT(D195,LEN("Sem E"))="Sem E"</formula>
    </cfRule>
  </conditionalFormatting>
  <conditionalFormatting sqref="E196">
    <cfRule type="duplicateValues" dxfId="475" priority="69"/>
  </conditionalFormatting>
  <conditionalFormatting sqref="D196">
    <cfRule type="beginsWith" dxfId="474" priority="68" operator="beginsWith" text="Sem E">
      <formula>LEFT(D196,LEN("Sem E"))="Sem E"</formula>
    </cfRule>
  </conditionalFormatting>
  <conditionalFormatting sqref="E197">
    <cfRule type="duplicateValues" dxfId="473" priority="67"/>
  </conditionalFormatting>
  <conditionalFormatting sqref="D197">
    <cfRule type="beginsWith" dxfId="472" priority="66" operator="beginsWith" text="Sem E">
      <formula>LEFT(D197,LEN("Sem E"))="Sem E"</formula>
    </cfRule>
  </conditionalFormatting>
  <conditionalFormatting sqref="E198">
    <cfRule type="duplicateValues" dxfId="471" priority="65"/>
  </conditionalFormatting>
  <conditionalFormatting sqref="D198">
    <cfRule type="beginsWith" dxfId="470" priority="64" operator="beginsWith" text="Sem E">
      <formula>LEFT(D198,LEN("Sem E"))="Sem E"</formula>
    </cfRule>
  </conditionalFormatting>
  <conditionalFormatting sqref="E199">
    <cfRule type="duplicateValues" dxfId="469" priority="63"/>
  </conditionalFormatting>
  <conditionalFormatting sqref="D199">
    <cfRule type="beginsWith" dxfId="468" priority="62" operator="beginsWith" text="Sem E">
      <formula>LEFT(D199,LEN("Sem E"))="Sem E"</formula>
    </cfRule>
  </conditionalFormatting>
  <conditionalFormatting sqref="E200">
    <cfRule type="duplicateValues" dxfId="467" priority="61"/>
  </conditionalFormatting>
  <conditionalFormatting sqref="D200">
    <cfRule type="beginsWith" dxfId="466" priority="60" operator="beginsWith" text="Sem E">
      <formula>LEFT(D200,LEN("Sem E"))="Sem E"</formula>
    </cfRule>
  </conditionalFormatting>
  <conditionalFormatting sqref="E201">
    <cfRule type="duplicateValues" dxfId="465" priority="59"/>
  </conditionalFormatting>
  <conditionalFormatting sqref="D201">
    <cfRule type="beginsWith" dxfId="464" priority="58" operator="beginsWith" text="Sem E">
      <formula>LEFT(D201,LEN("Sem E"))="Sem E"</formula>
    </cfRule>
  </conditionalFormatting>
  <conditionalFormatting sqref="E202">
    <cfRule type="duplicateValues" dxfId="463" priority="57"/>
  </conditionalFormatting>
  <conditionalFormatting sqref="D202">
    <cfRule type="beginsWith" dxfId="462" priority="56" operator="beginsWith" text="Sem E">
      <formula>LEFT(D202,LEN("Sem E"))="Sem E"</formula>
    </cfRule>
  </conditionalFormatting>
  <conditionalFormatting sqref="E203">
    <cfRule type="duplicateValues" dxfId="461" priority="55"/>
  </conditionalFormatting>
  <conditionalFormatting sqref="D203">
    <cfRule type="beginsWith" dxfId="460" priority="54" operator="beginsWith" text="Sem E">
      <formula>LEFT(D203,LEN("Sem E"))="Sem E"</formula>
    </cfRule>
  </conditionalFormatting>
  <conditionalFormatting sqref="E204">
    <cfRule type="duplicateValues" dxfId="459" priority="53"/>
  </conditionalFormatting>
  <conditionalFormatting sqref="D204">
    <cfRule type="beginsWith" dxfId="458" priority="52" operator="beginsWith" text="Sem E">
      <formula>LEFT(D204,LEN("Sem E"))="Sem E"</formula>
    </cfRule>
  </conditionalFormatting>
  <conditionalFormatting sqref="E205">
    <cfRule type="duplicateValues" dxfId="457" priority="51"/>
  </conditionalFormatting>
  <conditionalFormatting sqref="D205">
    <cfRule type="beginsWith" dxfId="456" priority="50" operator="beginsWith" text="Sem E">
      <formula>LEFT(D205,LEN("Sem E"))="Sem E"</formula>
    </cfRule>
  </conditionalFormatting>
  <conditionalFormatting sqref="E206">
    <cfRule type="duplicateValues" dxfId="455" priority="49"/>
  </conditionalFormatting>
  <conditionalFormatting sqref="D206">
    <cfRule type="beginsWith" dxfId="454" priority="48" operator="beginsWith" text="Sem E">
      <formula>LEFT(D206,LEN("Sem E"))="Sem E"</formula>
    </cfRule>
  </conditionalFormatting>
  <conditionalFormatting sqref="E207">
    <cfRule type="duplicateValues" dxfId="453" priority="47"/>
  </conditionalFormatting>
  <conditionalFormatting sqref="D207">
    <cfRule type="beginsWith" dxfId="452" priority="46" operator="beginsWith" text="Sem E">
      <formula>LEFT(D207,LEN("Sem E"))="Sem E"</formula>
    </cfRule>
  </conditionalFormatting>
  <conditionalFormatting sqref="E208">
    <cfRule type="duplicateValues" dxfId="451" priority="45"/>
  </conditionalFormatting>
  <conditionalFormatting sqref="D208">
    <cfRule type="beginsWith" dxfId="450" priority="44" operator="beginsWith" text="Sem E">
      <formula>LEFT(D208,LEN("Sem E"))="Sem E"</formula>
    </cfRule>
  </conditionalFormatting>
  <conditionalFormatting sqref="E209">
    <cfRule type="duplicateValues" dxfId="449" priority="43"/>
  </conditionalFormatting>
  <conditionalFormatting sqref="D209">
    <cfRule type="beginsWith" dxfId="448" priority="42" operator="beginsWith" text="Sem E">
      <formula>LEFT(D209,LEN("Sem E"))="Sem E"</formula>
    </cfRule>
  </conditionalFormatting>
  <conditionalFormatting sqref="E210">
    <cfRule type="duplicateValues" dxfId="447" priority="41"/>
  </conditionalFormatting>
  <conditionalFormatting sqref="D210">
    <cfRule type="beginsWith" dxfId="446" priority="40" operator="beginsWith" text="Sem E">
      <formula>LEFT(D210,LEN("Sem E"))="Sem E"</formula>
    </cfRule>
  </conditionalFormatting>
  <conditionalFormatting sqref="E211">
    <cfRule type="duplicateValues" dxfId="445" priority="39"/>
  </conditionalFormatting>
  <conditionalFormatting sqref="D211">
    <cfRule type="beginsWith" dxfId="444" priority="38" operator="beginsWith" text="Sem E">
      <formula>LEFT(D211,LEN("Sem E"))="Sem E"</formula>
    </cfRule>
  </conditionalFormatting>
  <conditionalFormatting sqref="G169">
    <cfRule type="duplicateValues" dxfId="443" priority="37"/>
  </conditionalFormatting>
  <conditionalFormatting sqref="H169">
    <cfRule type="duplicateValues" dxfId="442" priority="36"/>
  </conditionalFormatting>
  <conditionalFormatting sqref="V169">
    <cfRule type="beginsWith" dxfId="441" priority="34" operator="beginsWith" text="Canc">
      <formula>LEFT(V169,LEN("Canc"))="Canc"</formula>
    </cfRule>
    <cfRule type="beginsWith" dxfId="440" priority="35" operator="beginsWith" text="Exp">
      <formula>LEFT(V169,LEN("Exp"))="Exp"</formula>
    </cfRule>
  </conditionalFormatting>
  <conditionalFormatting sqref="V169">
    <cfRule type="beginsWith" dxfId="439" priority="30" operator="beginsWith" text="rece">
      <formula>LEFT(V169,LEN("rece"))="rece"</formula>
    </cfRule>
    <cfRule type="beginsWith" dxfId="438" priority="31" operator="beginsWith" text="Recus">
      <formula>LEFT(V169,LEN("Recus"))="Recus"</formula>
    </cfRule>
    <cfRule type="beginsWith" dxfId="437" priority="32" operator="beginsWith" text="Env">
      <formula>LEFT(V169,LEN("Env"))="Env"</formula>
    </cfRule>
    <cfRule type="beginsWith" dxfId="436" priority="33" operator="beginsWith" text="rece">
      <formula>LEFT(V169,LEN("rece"))="rece"</formula>
    </cfRule>
  </conditionalFormatting>
  <conditionalFormatting sqref="V169">
    <cfRule type="endsWith" dxfId="435" priority="29" operator="endsWith" text="lise">
      <formula>RIGHT(V169,LEN("lise"))="lise"</formula>
    </cfRule>
  </conditionalFormatting>
  <conditionalFormatting sqref="V169">
    <cfRule type="beginsWith" dxfId="434" priority="28" operator="beginsWith" text="Recus">
      <formula>LEFT(V169,LEN("Recus"))="Recus"</formula>
    </cfRule>
  </conditionalFormatting>
  <conditionalFormatting sqref="V169">
    <cfRule type="beginsWith" dxfId="433" priority="24" operator="beginsWith" text="Recus">
      <formula>LEFT(V169,LEN("Recus"))="Recus"</formula>
    </cfRule>
    <cfRule type="endsWith" dxfId="432" priority="25" operator="endsWith" text="lise">
      <formula>RIGHT(V169,LEN("lise"))="lise"</formula>
    </cfRule>
    <cfRule type="beginsWith" dxfId="431" priority="26" operator="beginsWith" text="rece">
      <formula>LEFT(V169,LEN("rece"))="rece"</formula>
    </cfRule>
    <cfRule type="beginsWith" dxfId="430" priority="27" operator="beginsWith" text="Env">
      <formula>LEFT(V169,LEN("Env"))="Env"</formula>
    </cfRule>
  </conditionalFormatting>
  <conditionalFormatting sqref="E170">
    <cfRule type="duplicateValues" dxfId="429" priority="23"/>
  </conditionalFormatting>
  <conditionalFormatting sqref="D170">
    <cfRule type="beginsWith" dxfId="428" priority="22" operator="beginsWith" text="Sem E">
      <formula>LEFT(D170,LEN("Sem E"))="Sem E"</formula>
    </cfRule>
  </conditionalFormatting>
  <conditionalFormatting sqref="E171">
    <cfRule type="duplicateValues" dxfId="427" priority="21"/>
  </conditionalFormatting>
  <conditionalFormatting sqref="D171">
    <cfRule type="beginsWith" dxfId="426" priority="20" operator="beginsWith" text="Sem E">
      <formula>LEFT(D171,LEN("Sem E"))="Sem E"</formula>
    </cfRule>
  </conditionalFormatting>
  <conditionalFormatting sqref="E172">
    <cfRule type="duplicateValues" dxfId="425" priority="19"/>
  </conditionalFormatting>
  <conditionalFormatting sqref="D172">
    <cfRule type="beginsWith" dxfId="424" priority="18" operator="beginsWith" text="Sem E">
      <formula>LEFT(D172,LEN("Sem E"))="Sem E"</formula>
    </cfRule>
  </conditionalFormatting>
  <conditionalFormatting sqref="E173">
    <cfRule type="duplicateValues" dxfId="423" priority="17"/>
  </conditionalFormatting>
  <conditionalFormatting sqref="D173">
    <cfRule type="beginsWith" dxfId="422" priority="16" operator="beginsWith" text="Sem E">
      <formula>LEFT(D173,LEN("Sem E"))="Sem E"</formula>
    </cfRule>
  </conditionalFormatting>
  <conditionalFormatting sqref="E174">
    <cfRule type="duplicateValues" dxfId="421" priority="15"/>
  </conditionalFormatting>
  <conditionalFormatting sqref="D174">
    <cfRule type="beginsWith" dxfId="420" priority="14" operator="beginsWith" text="Sem E">
      <formula>LEFT(D174,LEN("Sem E"))="Sem E"</formula>
    </cfRule>
  </conditionalFormatting>
  <conditionalFormatting sqref="E175">
    <cfRule type="duplicateValues" dxfId="419" priority="13"/>
  </conditionalFormatting>
  <conditionalFormatting sqref="D175">
    <cfRule type="beginsWith" dxfId="418" priority="12" operator="beginsWith" text="Sem E">
      <formula>LEFT(D175,LEN("Sem E"))="Sem E"</formula>
    </cfRule>
  </conditionalFormatting>
  <conditionalFormatting sqref="E176">
    <cfRule type="duplicateValues" dxfId="417" priority="11"/>
  </conditionalFormatting>
  <conditionalFormatting sqref="E177">
    <cfRule type="duplicateValues" dxfId="416" priority="10"/>
  </conditionalFormatting>
  <conditionalFormatting sqref="D177">
    <cfRule type="beginsWith" dxfId="415" priority="9" operator="beginsWith" text="Sem E">
      <formula>LEFT(D177,LEN("Sem E"))="Sem E"</formula>
    </cfRule>
  </conditionalFormatting>
  <conditionalFormatting sqref="E178">
    <cfRule type="duplicateValues" dxfId="414" priority="8"/>
  </conditionalFormatting>
  <conditionalFormatting sqref="D178">
    <cfRule type="beginsWith" dxfId="413" priority="7" operator="beginsWith" text="Sem E">
      <formula>LEFT(D178,LEN("Sem E"))="Sem E"</formula>
    </cfRule>
  </conditionalFormatting>
  <conditionalFormatting sqref="E179">
    <cfRule type="duplicateValues" dxfId="412" priority="6"/>
  </conditionalFormatting>
  <conditionalFormatting sqref="D179">
    <cfRule type="beginsWith" dxfId="411" priority="5" operator="beginsWith" text="Sem E">
      <formula>LEFT(D179,LEN("Sem E"))="Sem E"</formula>
    </cfRule>
  </conditionalFormatting>
  <conditionalFormatting sqref="E180">
    <cfRule type="duplicateValues" dxfId="410" priority="4"/>
  </conditionalFormatting>
  <conditionalFormatting sqref="D180">
    <cfRule type="beginsWith" dxfId="409" priority="3" operator="beginsWith" text="Sem E">
      <formula>LEFT(D180,LEN("Sem E"))="Sem E"</formula>
    </cfRule>
  </conditionalFormatting>
  <conditionalFormatting sqref="E181">
    <cfRule type="duplicateValues" dxfId="408" priority="2"/>
  </conditionalFormatting>
  <conditionalFormatting sqref="D181">
    <cfRule type="beginsWith" dxfId="407" priority="1" operator="beginsWith" text="Sem E">
      <formula>LEFT(D181,LEN("Sem E"))="Sem E"</formula>
    </cfRule>
  </conditionalFormatting>
  <hyperlinks>
    <hyperlink ref="D188" r:id="rId1" xr:uid="{00000000-0004-0000-0000-000000000000}"/>
  </hyperlinks>
  <pageMargins left="0.511811024" right="0.511811024" top="0.78740157499999996" bottom="0.78740157499999996" header="0.31496062000000002" footer="0.31496062000000002"/>
  <pageSetup paperSize="0" orientation="portrait" horizontalDpi="0" verticalDpi="0" copie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"/>
  <dimension ref="A1:Y238"/>
  <sheetViews>
    <sheetView zoomScale="85" zoomScaleNormal="85" workbookViewId="0">
      <selection activeCell="A2" sqref="A2"/>
    </sheetView>
  </sheetViews>
  <sheetFormatPr defaultColWidth="9.140625" defaultRowHeight="15" x14ac:dyDescent="0.25"/>
  <cols>
    <col min="1" max="1" width="28.42578125" style="148" bestFit="1" customWidth="1"/>
    <col min="2" max="2" width="12.42578125" style="149" bestFit="1" customWidth="1"/>
    <col min="3" max="3" width="25.5703125" style="150" bestFit="1" customWidth="1"/>
    <col min="4" max="4" width="40.42578125" style="141" bestFit="1" customWidth="1"/>
    <col min="5" max="5" width="23.28515625" style="148" bestFit="1" customWidth="1"/>
    <col min="6" max="6" width="14" style="151" bestFit="1" customWidth="1"/>
    <col min="7" max="7" width="18" style="152" bestFit="1" customWidth="1"/>
    <col min="8" max="8" width="38.85546875" style="141" bestFit="1" customWidth="1"/>
    <col min="9" max="9" width="40.28515625" style="141" bestFit="1" customWidth="1"/>
    <col min="10" max="10" width="14.7109375" style="153" bestFit="1" customWidth="1"/>
    <col min="11" max="11" width="14.42578125" style="154" bestFit="1" customWidth="1"/>
    <col min="12" max="12" width="49.7109375" style="141" bestFit="1" customWidth="1"/>
    <col min="13" max="13" width="34.42578125" style="141" bestFit="1" customWidth="1"/>
    <col min="14" max="14" width="9.140625" style="141" bestFit="1" customWidth="1"/>
    <col min="15" max="15" width="10.7109375" style="141" bestFit="1" customWidth="1"/>
    <col min="16" max="16" width="14.5703125" style="141" bestFit="1" customWidth="1"/>
    <col min="17" max="17" width="11" style="141" bestFit="1" customWidth="1"/>
    <col min="18" max="18" width="33.5703125" style="141" bestFit="1" customWidth="1"/>
    <col min="19" max="19" width="17.42578125" style="141" bestFit="1" customWidth="1"/>
    <col min="20" max="20" width="7.85546875" style="141" bestFit="1" customWidth="1"/>
    <col min="21" max="21" width="10.85546875" style="141" bestFit="1" customWidth="1"/>
    <col min="22" max="22" width="36.7109375" style="141" bestFit="1" customWidth="1"/>
    <col min="23" max="23" width="38.140625" style="141" bestFit="1" customWidth="1"/>
    <col min="24" max="24" width="21" style="141" bestFit="1" customWidth="1"/>
    <col min="25" max="25" width="18.140625" style="154" bestFit="1" customWidth="1"/>
    <col min="26" max="26" width="5.28515625" style="141" bestFit="1" customWidth="1"/>
    <col min="27" max="16384" width="9.140625" style="141"/>
  </cols>
  <sheetData>
    <row r="1" spans="1:25" s="137" customFormat="1" ht="15.75" thickBot="1" x14ac:dyDescent="0.3">
      <c r="A1" s="134" t="s">
        <v>0</v>
      </c>
      <c r="B1" s="135" t="s">
        <v>1</v>
      </c>
      <c r="C1" s="136" t="s">
        <v>2</v>
      </c>
      <c r="D1" s="107" t="s">
        <v>10</v>
      </c>
      <c r="E1" s="128" t="s">
        <v>189</v>
      </c>
      <c r="F1" s="129" t="s">
        <v>20</v>
      </c>
      <c r="G1" s="106" t="s">
        <v>21</v>
      </c>
      <c r="H1" s="107" t="s">
        <v>3</v>
      </c>
      <c r="I1" s="107" t="s">
        <v>4</v>
      </c>
      <c r="J1" s="108" t="s">
        <v>5</v>
      </c>
      <c r="K1" s="109" t="s">
        <v>6</v>
      </c>
      <c r="L1" s="107" t="s">
        <v>7</v>
      </c>
      <c r="M1" s="107" t="s">
        <v>8</v>
      </c>
      <c r="N1" s="107" t="s">
        <v>9</v>
      </c>
      <c r="O1" s="107" t="s">
        <v>23</v>
      </c>
      <c r="P1" s="107" t="s">
        <v>11</v>
      </c>
      <c r="Q1" s="107" t="s">
        <v>12</v>
      </c>
      <c r="R1" s="107" t="s">
        <v>13</v>
      </c>
      <c r="S1" s="107" t="s">
        <v>19</v>
      </c>
      <c r="T1" s="107" t="s">
        <v>18</v>
      </c>
      <c r="U1" s="107" t="s">
        <v>155</v>
      </c>
      <c r="V1" s="107" t="s">
        <v>14</v>
      </c>
      <c r="W1" s="107" t="s">
        <v>15</v>
      </c>
      <c r="X1" s="107" t="s">
        <v>16</v>
      </c>
      <c r="Y1" s="110" t="s">
        <v>17</v>
      </c>
    </row>
    <row r="2" spans="1:25" x14ac:dyDescent="0.25">
      <c r="A2" s="138"/>
      <c r="B2" s="139"/>
      <c r="C2" s="140"/>
      <c r="D2" s="112"/>
      <c r="E2" s="130"/>
      <c r="F2" s="131"/>
      <c r="G2" s="111"/>
      <c r="H2" s="112"/>
      <c r="I2" s="112"/>
      <c r="J2" s="113"/>
      <c r="K2" s="114"/>
      <c r="L2" s="112"/>
      <c r="M2" s="112"/>
      <c r="N2" s="112"/>
      <c r="O2" s="115"/>
      <c r="P2" s="115"/>
      <c r="Q2" s="116"/>
      <c r="R2" s="117"/>
      <c r="S2" s="118"/>
      <c r="T2" s="112"/>
      <c r="U2" s="112"/>
      <c r="V2" s="112"/>
      <c r="W2" s="112"/>
      <c r="X2" s="112"/>
      <c r="Y2" s="163"/>
    </row>
    <row r="3" spans="1:25" x14ac:dyDescent="0.25">
      <c r="A3" s="138"/>
      <c r="B3" s="139"/>
      <c r="C3" s="140"/>
      <c r="D3" s="112"/>
      <c r="E3" s="130"/>
      <c r="F3" s="131"/>
      <c r="G3" s="111"/>
      <c r="H3" s="112"/>
      <c r="I3" s="112"/>
      <c r="J3" s="113"/>
      <c r="K3" s="114"/>
      <c r="L3" s="112"/>
      <c r="M3" s="112"/>
      <c r="N3" s="112"/>
      <c r="O3" s="115"/>
      <c r="P3" s="115"/>
      <c r="Q3" s="116"/>
      <c r="R3" s="117"/>
      <c r="S3" s="118"/>
      <c r="T3" s="112"/>
      <c r="U3" s="112"/>
      <c r="V3" s="112"/>
      <c r="W3" s="112"/>
      <c r="X3" s="112"/>
      <c r="Y3" s="163"/>
    </row>
    <row r="4" spans="1:25" x14ac:dyDescent="0.25">
      <c r="A4" s="138"/>
      <c r="B4" s="139"/>
      <c r="C4" s="140"/>
      <c r="D4" s="112"/>
      <c r="E4" s="130"/>
      <c r="F4" s="131"/>
      <c r="G4" s="111"/>
      <c r="H4" s="112"/>
      <c r="I4" s="112"/>
      <c r="J4" s="113"/>
      <c r="K4" s="114"/>
      <c r="L4" s="112"/>
      <c r="M4" s="112"/>
      <c r="N4" s="112"/>
      <c r="O4" s="115"/>
      <c r="P4" s="115"/>
      <c r="Q4" s="116"/>
      <c r="R4" s="117"/>
      <c r="S4" s="118"/>
      <c r="T4" s="112"/>
      <c r="U4" s="112"/>
      <c r="V4" s="112"/>
      <c r="W4" s="112"/>
      <c r="X4" s="112"/>
      <c r="Y4" s="163"/>
    </row>
    <row r="5" spans="1:25" x14ac:dyDescent="0.25">
      <c r="A5" s="138"/>
      <c r="B5" s="139"/>
      <c r="C5" s="140"/>
      <c r="D5" s="112"/>
      <c r="E5" s="130"/>
      <c r="F5" s="131"/>
      <c r="G5" s="111"/>
      <c r="H5" s="112"/>
      <c r="I5" s="112"/>
      <c r="J5" s="113"/>
      <c r="K5" s="114"/>
      <c r="L5" s="112"/>
      <c r="M5" s="112"/>
      <c r="N5" s="112"/>
      <c r="O5" s="115"/>
      <c r="P5" s="115"/>
      <c r="Q5" s="116"/>
      <c r="R5" s="117"/>
      <c r="S5" s="118"/>
      <c r="T5" s="112"/>
      <c r="U5" s="112"/>
      <c r="V5" s="112"/>
      <c r="W5" s="112"/>
      <c r="X5" s="112"/>
      <c r="Y5" s="163"/>
    </row>
    <row r="6" spans="1:25" x14ac:dyDescent="0.25">
      <c r="A6" s="138"/>
      <c r="B6" s="139"/>
      <c r="C6" s="140"/>
      <c r="D6" s="112"/>
      <c r="E6" s="130"/>
      <c r="F6" s="131"/>
      <c r="G6" s="111"/>
      <c r="H6" s="112"/>
      <c r="I6" s="112"/>
      <c r="J6" s="113"/>
      <c r="K6" s="114"/>
      <c r="L6" s="112"/>
      <c r="M6" s="112"/>
      <c r="N6" s="112"/>
      <c r="O6" s="115"/>
      <c r="P6" s="115"/>
      <c r="Q6" s="116"/>
      <c r="R6" s="117"/>
      <c r="S6" s="118"/>
      <c r="T6" s="112"/>
      <c r="U6" s="112"/>
      <c r="V6" s="112"/>
      <c r="W6" s="112"/>
      <c r="X6" s="112"/>
      <c r="Y6" s="163"/>
    </row>
    <row r="7" spans="1:25" x14ac:dyDescent="0.25">
      <c r="A7" s="138"/>
      <c r="B7" s="139"/>
      <c r="C7" s="140"/>
      <c r="D7" s="112"/>
      <c r="E7" s="130"/>
      <c r="F7" s="131"/>
      <c r="G7" s="111"/>
      <c r="H7" s="112"/>
      <c r="I7" s="112"/>
      <c r="J7" s="113"/>
      <c r="K7" s="114"/>
      <c r="L7" s="112"/>
      <c r="M7" s="112"/>
      <c r="N7" s="112"/>
      <c r="O7" s="115"/>
      <c r="P7" s="115"/>
      <c r="Q7" s="116"/>
      <c r="R7" s="117"/>
      <c r="S7" s="118"/>
      <c r="T7" s="112"/>
      <c r="U7" s="112"/>
      <c r="V7" s="112"/>
      <c r="W7" s="112"/>
      <c r="X7" s="112"/>
      <c r="Y7" s="163"/>
    </row>
    <row r="8" spans="1:25" x14ac:dyDescent="0.25">
      <c r="A8" s="138"/>
      <c r="B8" s="139"/>
      <c r="C8" s="140"/>
      <c r="D8" s="112"/>
      <c r="E8" s="130"/>
      <c r="F8" s="131"/>
      <c r="G8" s="111"/>
      <c r="H8" s="112"/>
      <c r="I8" s="112"/>
      <c r="J8" s="113"/>
      <c r="K8" s="114"/>
      <c r="L8" s="112"/>
      <c r="M8" s="112"/>
      <c r="N8" s="112"/>
      <c r="O8" s="115"/>
      <c r="P8" s="115"/>
      <c r="Q8" s="116"/>
      <c r="R8" s="117"/>
      <c r="S8" s="118"/>
      <c r="T8" s="112"/>
      <c r="U8" s="112"/>
      <c r="V8" s="112"/>
      <c r="W8" s="112"/>
      <c r="X8" s="112"/>
      <c r="Y8" s="163"/>
    </row>
    <row r="9" spans="1:25" x14ac:dyDescent="0.25">
      <c r="A9" s="138"/>
      <c r="B9" s="139"/>
      <c r="C9" s="140"/>
      <c r="D9" s="112"/>
      <c r="E9" s="130"/>
      <c r="F9" s="131"/>
      <c r="G9" s="111"/>
      <c r="H9" s="112"/>
      <c r="I9" s="112"/>
      <c r="J9" s="113"/>
      <c r="K9" s="114"/>
      <c r="L9" s="112"/>
      <c r="M9" s="112"/>
      <c r="N9" s="112"/>
      <c r="O9" s="115"/>
      <c r="P9" s="115"/>
      <c r="Q9" s="116"/>
      <c r="R9" s="117"/>
      <c r="S9" s="118"/>
      <c r="T9" s="112"/>
      <c r="U9" s="112"/>
      <c r="V9" s="112"/>
      <c r="W9" s="112"/>
      <c r="X9" s="112"/>
      <c r="Y9" s="163"/>
    </row>
    <row r="10" spans="1:25" x14ac:dyDescent="0.25">
      <c r="A10" s="138"/>
      <c r="B10" s="138"/>
      <c r="C10" s="138"/>
      <c r="D10" s="112"/>
      <c r="E10" s="130"/>
      <c r="F10" s="131"/>
      <c r="G10" s="111"/>
      <c r="H10" s="112"/>
      <c r="I10" s="112"/>
      <c r="J10" s="113"/>
      <c r="K10" s="114"/>
      <c r="L10" s="112"/>
      <c r="M10" s="112"/>
      <c r="N10" s="112"/>
      <c r="O10" s="115"/>
      <c r="P10" s="115"/>
      <c r="Q10" s="116"/>
      <c r="R10" s="117"/>
      <c r="S10" s="118"/>
      <c r="T10" s="112"/>
      <c r="U10" s="112"/>
      <c r="V10" s="112"/>
      <c r="W10" s="112"/>
      <c r="X10" s="112"/>
      <c r="Y10" s="163"/>
    </row>
    <row r="11" spans="1:25" x14ac:dyDescent="0.25">
      <c r="A11" s="138"/>
      <c r="B11" s="139"/>
      <c r="C11" s="140"/>
      <c r="D11" s="112"/>
      <c r="E11" s="130"/>
      <c r="F11" s="131"/>
      <c r="G11" s="111"/>
      <c r="H11" s="112"/>
      <c r="I11" s="112"/>
      <c r="J11" s="113"/>
      <c r="K11" s="114"/>
      <c r="L11" s="112"/>
      <c r="M11" s="112"/>
      <c r="N11" s="112"/>
      <c r="O11" s="115"/>
      <c r="P11" s="115"/>
      <c r="Q11" s="116"/>
      <c r="R11" s="117"/>
      <c r="S11" s="118"/>
      <c r="T11" s="112"/>
      <c r="U11" s="112"/>
      <c r="V11" s="112"/>
      <c r="W11" s="112"/>
      <c r="X11" s="112"/>
      <c r="Y11" s="163"/>
    </row>
    <row r="12" spans="1:25" x14ac:dyDescent="0.25">
      <c r="A12" s="138"/>
      <c r="B12" s="139"/>
      <c r="C12" s="140"/>
      <c r="D12" s="112"/>
      <c r="E12" s="130"/>
      <c r="F12" s="131"/>
      <c r="G12" s="111"/>
      <c r="H12" s="112"/>
      <c r="I12" s="112"/>
      <c r="J12" s="113"/>
      <c r="K12" s="114"/>
      <c r="L12" s="112"/>
      <c r="M12" s="112"/>
      <c r="N12" s="112"/>
      <c r="O12" s="115"/>
      <c r="P12" s="115"/>
      <c r="Q12" s="116"/>
      <c r="R12" s="117"/>
      <c r="S12" s="118"/>
      <c r="T12" s="112"/>
      <c r="U12" s="112"/>
      <c r="V12" s="112"/>
      <c r="W12" s="112"/>
      <c r="X12" s="112"/>
      <c r="Y12" s="163"/>
    </row>
    <row r="13" spans="1:25" x14ac:dyDescent="0.25">
      <c r="A13" s="138"/>
      <c r="B13" s="139"/>
      <c r="C13" s="140"/>
      <c r="D13" s="112"/>
      <c r="E13" s="130"/>
      <c r="F13" s="131"/>
      <c r="G13" s="111"/>
      <c r="H13" s="112"/>
      <c r="I13" s="112"/>
      <c r="J13" s="113"/>
      <c r="K13" s="114"/>
      <c r="L13" s="112"/>
      <c r="M13" s="112"/>
      <c r="N13" s="112"/>
      <c r="O13" s="115"/>
      <c r="P13" s="115"/>
      <c r="Q13" s="116"/>
      <c r="R13" s="117"/>
      <c r="S13" s="118"/>
      <c r="T13" s="112"/>
      <c r="U13" s="112"/>
      <c r="V13" s="112"/>
      <c r="W13" s="112"/>
      <c r="X13" s="112"/>
      <c r="Y13" s="163"/>
    </row>
    <row r="14" spans="1:25" x14ac:dyDescent="0.25">
      <c r="A14" s="138"/>
      <c r="B14" s="139"/>
      <c r="C14" s="140"/>
      <c r="D14" s="112"/>
      <c r="E14" s="130"/>
      <c r="F14" s="131"/>
      <c r="G14" s="111"/>
      <c r="H14" s="112"/>
      <c r="I14" s="112"/>
      <c r="J14" s="113"/>
      <c r="K14" s="114"/>
      <c r="L14" s="112"/>
      <c r="M14" s="112"/>
      <c r="N14" s="112"/>
      <c r="O14" s="115"/>
      <c r="P14" s="115"/>
      <c r="Q14" s="116"/>
      <c r="R14" s="117"/>
      <c r="S14" s="118"/>
      <c r="T14" s="112"/>
      <c r="U14" s="112"/>
      <c r="V14" s="112"/>
      <c r="W14" s="112"/>
      <c r="X14" s="112"/>
      <c r="Y14" s="163"/>
    </row>
    <row r="15" spans="1:25" x14ac:dyDescent="0.25">
      <c r="A15" s="138"/>
      <c r="B15" s="139"/>
      <c r="C15" s="140"/>
      <c r="D15" s="112"/>
      <c r="E15" s="130"/>
      <c r="F15" s="131"/>
      <c r="G15" s="111"/>
      <c r="H15" s="112"/>
      <c r="I15" s="112"/>
      <c r="J15" s="113"/>
      <c r="K15" s="114"/>
      <c r="L15" s="112"/>
      <c r="M15" s="112"/>
      <c r="N15" s="112"/>
      <c r="O15" s="115"/>
      <c r="P15" s="115"/>
      <c r="Q15" s="116"/>
      <c r="R15" s="117"/>
      <c r="S15" s="118"/>
      <c r="T15" s="112"/>
      <c r="U15" s="112"/>
      <c r="V15" s="112"/>
      <c r="W15" s="112"/>
      <c r="X15" s="112"/>
      <c r="Y15" s="163"/>
    </row>
    <row r="16" spans="1:25" x14ac:dyDescent="0.25">
      <c r="A16" s="138"/>
      <c r="B16" s="139"/>
      <c r="C16" s="140"/>
      <c r="D16" s="112"/>
      <c r="E16" s="130"/>
      <c r="F16" s="131"/>
      <c r="G16" s="111"/>
      <c r="H16" s="112"/>
      <c r="I16" s="112"/>
      <c r="J16" s="113"/>
      <c r="K16" s="114"/>
      <c r="L16" s="112"/>
      <c r="M16" s="112"/>
      <c r="N16" s="112"/>
      <c r="O16" s="115"/>
      <c r="P16" s="115"/>
      <c r="Q16" s="116"/>
      <c r="R16" s="117"/>
      <c r="S16" s="118"/>
      <c r="T16" s="112"/>
      <c r="U16" s="112"/>
      <c r="V16" s="112"/>
      <c r="W16" s="112"/>
      <c r="X16" s="112"/>
      <c r="Y16" s="163"/>
    </row>
    <row r="17" spans="1:25" x14ac:dyDescent="0.25">
      <c r="A17" s="138"/>
      <c r="B17" s="138"/>
      <c r="C17" s="138"/>
      <c r="D17" s="112"/>
      <c r="E17" s="130"/>
      <c r="F17" s="131"/>
      <c r="G17" s="111"/>
      <c r="H17" s="112"/>
      <c r="I17" s="112"/>
      <c r="J17" s="113"/>
      <c r="K17" s="114"/>
      <c r="L17" s="112"/>
      <c r="M17" s="112"/>
      <c r="N17" s="112"/>
      <c r="O17" s="115"/>
      <c r="P17" s="115"/>
      <c r="Q17" s="116"/>
      <c r="R17" s="117"/>
      <c r="S17" s="118"/>
      <c r="T17" s="112"/>
      <c r="U17" s="112"/>
      <c r="V17" s="112"/>
      <c r="W17" s="112"/>
      <c r="X17" s="112"/>
      <c r="Y17" s="163"/>
    </row>
    <row r="18" spans="1:25" x14ac:dyDescent="0.25">
      <c r="A18" s="138"/>
      <c r="B18" s="139"/>
      <c r="C18" s="140"/>
      <c r="D18" s="112"/>
      <c r="E18" s="130"/>
      <c r="F18" s="131"/>
      <c r="G18" s="111"/>
      <c r="H18" s="112"/>
      <c r="I18" s="112"/>
      <c r="J18" s="113"/>
      <c r="K18" s="114"/>
      <c r="L18" s="112"/>
      <c r="M18" s="112"/>
      <c r="N18" s="112"/>
      <c r="O18" s="115"/>
      <c r="P18" s="115"/>
      <c r="Q18" s="116"/>
      <c r="R18" s="117"/>
      <c r="S18" s="118"/>
      <c r="T18" s="112"/>
      <c r="U18" s="112"/>
      <c r="V18" s="112"/>
      <c r="W18" s="112"/>
      <c r="X18" s="112"/>
      <c r="Y18" s="163"/>
    </row>
    <row r="19" spans="1:25" x14ac:dyDescent="0.25">
      <c r="A19" s="138"/>
      <c r="B19" s="139"/>
      <c r="C19" s="140"/>
      <c r="D19" s="112"/>
      <c r="E19" s="130"/>
      <c r="F19" s="131"/>
      <c r="G19" s="111"/>
      <c r="H19" s="112"/>
      <c r="I19" s="112"/>
      <c r="J19" s="113"/>
      <c r="K19" s="114"/>
      <c r="L19" s="112"/>
      <c r="M19" s="112"/>
      <c r="N19" s="112"/>
      <c r="O19" s="115"/>
      <c r="P19" s="115"/>
      <c r="Q19" s="116"/>
      <c r="R19" s="117"/>
      <c r="S19" s="118"/>
      <c r="T19" s="112"/>
      <c r="U19" s="112"/>
      <c r="V19" s="112"/>
      <c r="W19" s="112"/>
      <c r="X19" s="112"/>
      <c r="Y19" s="163"/>
    </row>
    <row r="20" spans="1:25" x14ac:dyDescent="0.25">
      <c r="A20" s="138"/>
      <c r="B20" s="139"/>
      <c r="C20" s="140"/>
      <c r="D20" s="112"/>
      <c r="E20" s="130"/>
      <c r="F20" s="131"/>
      <c r="G20" s="111"/>
      <c r="H20" s="112"/>
      <c r="I20" s="112"/>
      <c r="J20" s="113"/>
      <c r="K20" s="114"/>
      <c r="L20" s="112"/>
      <c r="M20" s="112"/>
      <c r="N20" s="112"/>
      <c r="O20" s="115"/>
      <c r="P20" s="115"/>
      <c r="Q20" s="116"/>
      <c r="R20" s="117"/>
      <c r="S20" s="118"/>
      <c r="T20" s="112"/>
      <c r="U20" s="112"/>
      <c r="V20" s="112"/>
      <c r="W20" s="112"/>
      <c r="X20" s="112"/>
      <c r="Y20" s="163"/>
    </row>
    <row r="21" spans="1:25" x14ac:dyDescent="0.25">
      <c r="A21" s="138"/>
      <c r="B21" s="139"/>
      <c r="C21" s="140"/>
      <c r="D21" s="112"/>
      <c r="E21" s="130"/>
      <c r="F21" s="131"/>
      <c r="G21" s="111"/>
      <c r="H21" s="112"/>
      <c r="I21" s="112"/>
      <c r="J21" s="113"/>
      <c r="K21" s="114"/>
      <c r="L21" s="112"/>
      <c r="M21" s="112"/>
      <c r="N21" s="112"/>
      <c r="O21" s="115"/>
      <c r="P21" s="115"/>
      <c r="Q21" s="116"/>
      <c r="R21" s="117"/>
      <c r="S21" s="118"/>
      <c r="T21" s="112"/>
      <c r="U21" s="112"/>
      <c r="V21" s="112"/>
      <c r="W21" s="112"/>
      <c r="X21" s="112"/>
      <c r="Y21" s="163"/>
    </row>
    <row r="22" spans="1:25" x14ac:dyDescent="0.25">
      <c r="A22" s="138"/>
      <c r="B22" s="139"/>
      <c r="C22" s="140"/>
      <c r="D22" s="112"/>
      <c r="E22" s="130"/>
      <c r="F22" s="131"/>
      <c r="G22" s="111"/>
      <c r="H22" s="112"/>
      <c r="I22" s="112"/>
      <c r="J22" s="113"/>
      <c r="K22" s="114"/>
      <c r="L22" s="112"/>
      <c r="M22" s="112"/>
      <c r="N22" s="112"/>
      <c r="O22" s="115"/>
      <c r="P22" s="115"/>
      <c r="Q22" s="116"/>
      <c r="R22" s="117"/>
      <c r="S22" s="118"/>
      <c r="T22" s="112"/>
      <c r="U22" s="112"/>
      <c r="V22" s="112"/>
      <c r="W22" s="112"/>
      <c r="X22" s="112"/>
      <c r="Y22" s="163"/>
    </row>
    <row r="23" spans="1:25" x14ac:dyDescent="0.25">
      <c r="A23" s="138"/>
      <c r="B23" s="139"/>
      <c r="C23" s="140"/>
      <c r="D23" s="112"/>
      <c r="E23" s="130"/>
      <c r="F23" s="131"/>
      <c r="G23" s="111"/>
      <c r="H23" s="112"/>
      <c r="I23" s="112"/>
      <c r="J23" s="113"/>
      <c r="K23" s="114"/>
      <c r="L23" s="112"/>
      <c r="M23" s="112"/>
      <c r="N23" s="112"/>
      <c r="O23" s="115"/>
      <c r="P23" s="115"/>
      <c r="Q23" s="116"/>
      <c r="R23" s="117"/>
      <c r="S23" s="118"/>
      <c r="T23" s="112"/>
      <c r="U23" s="112"/>
      <c r="V23" s="112"/>
      <c r="W23" s="112"/>
      <c r="X23" s="112"/>
      <c r="Y23" s="163"/>
    </row>
    <row r="24" spans="1:25" x14ac:dyDescent="0.25">
      <c r="A24" s="138"/>
      <c r="B24" s="139"/>
      <c r="C24" s="140"/>
      <c r="D24" s="112"/>
      <c r="E24" s="130"/>
      <c r="F24" s="131"/>
      <c r="G24" s="111"/>
      <c r="H24" s="112"/>
      <c r="I24" s="112"/>
      <c r="J24" s="113"/>
      <c r="K24" s="114"/>
      <c r="L24" s="112"/>
      <c r="M24" s="112"/>
      <c r="N24" s="112"/>
      <c r="O24" s="115"/>
      <c r="P24" s="115"/>
      <c r="Q24" s="116"/>
      <c r="R24" s="117"/>
      <c r="S24" s="118"/>
      <c r="T24" s="112"/>
      <c r="U24" s="112"/>
      <c r="V24" s="112"/>
      <c r="W24" s="112"/>
      <c r="X24" s="112"/>
      <c r="Y24" s="163"/>
    </row>
    <row r="25" spans="1:25" x14ac:dyDescent="0.25">
      <c r="A25" s="138"/>
      <c r="B25" s="139"/>
      <c r="C25" s="140"/>
      <c r="D25" s="112"/>
      <c r="E25" s="130"/>
      <c r="F25" s="131"/>
      <c r="G25" s="111"/>
      <c r="H25" s="112"/>
      <c r="I25" s="112"/>
      <c r="J25" s="113"/>
      <c r="K25" s="114"/>
      <c r="L25" s="112"/>
      <c r="M25" s="112"/>
      <c r="N25" s="112"/>
      <c r="O25" s="115"/>
      <c r="P25" s="115"/>
      <c r="Q25" s="116"/>
      <c r="R25" s="117"/>
      <c r="S25" s="118"/>
      <c r="T25" s="112"/>
      <c r="U25" s="112"/>
      <c r="V25" s="112"/>
      <c r="W25" s="112"/>
      <c r="X25" s="112"/>
      <c r="Y25" s="163"/>
    </row>
    <row r="26" spans="1:25" x14ac:dyDescent="0.25">
      <c r="A26" s="138"/>
      <c r="B26" s="139"/>
      <c r="C26" s="140"/>
      <c r="D26" s="112"/>
      <c r="E26" s="130"/>
      <c r="F26" s="131"/>
      <c r="G26" s="111"/>
      <c r="H26" s="112"/>
      <c r="I26" s="112"/>
      <c r="J26" s="113"/>
      <c r="K26" s="114"/>
      <c r="L26" s="112"/>
      <c r="M26" s="112"/>
      <c r="N26" s="112"/>
      <c r="O26" s="115"/>
      <c r="P26" s="115"/>
      <c r="Q26" s="116"/>
      <c r="R26" s="117"/>
      <c r="S26" s="118"/>
      <c r="T26" s="112"/>
      <c r="U26" s="112"/>
      <c r="V26" s="112"/>
      <c r="W26" s="112"/>
      <c r="X26" s="112"/>
      <c r="Y26" s="163"/>
    </row>
    <row r="27" spans="1:25" x14ac:dyDescent="0.25">
      <c r="A27" s="138"/>
      <c r="B27" s="139"/>
      <c r="C27" s="140"/>
      <c r="D27" s="112"/>
      <c r="E27" s="130"/>
      <c r="F27" s="131"/>
      <c r="G27" s="111"/>
      <c r="H27" s="112"/>
      <c r="I27" s="112"/>
      <c r="J27" s="113"/>
      <c r="K27" s="114"/>
      <c r="L27" s="112"/>
      <c r="M27" s="112"/>
      <c r="N27" s="112"/>
      <c r="O27" s="115"/>
      <c r="P27" s="115"/>
      <c r="Q27" s="116"/>
      <c r="R27" s="117"/>
      <c r="S27" s="118"/>
      <c r="T27" s="112"/>
      <c r="U27" s="112"/>
      <c r="V27" s="112"/>
      <c r="W27" s="112"/>
      <c r="X27" s="112"/>
      <c r="Y27" s="163"/>
    </row>
    <row r="28" spans="1:25" x14ac:dyDescent="0.25">
      <c r="A28" s="138"/>
      <c r="B28" s="139"/>
      <c r="C28" s="140"/>
      <c r="D28" s="112"/>
      <c r="E28" s="130"/>
      <c r="F28" s="131"/>
      <c r="G28" s="111"/>
      <c r="H28" s="112"/>
      <c r="I28" s="112"/>
      <c r="J28" s="113"/>
      <c r="K28" s="114"/>
      <c r="L28" s="112"/>
      <c r="M28" s="112"/>
      <c r="N28" s="112"/>
      <c r="O28" s="115"/>
      <c r="P28" s="115"/>
      <c r="Q28" s="116"/>
      <c r="R28" s="117"/>
      <c r="S28" s="118"/>
      <c r="T28" s="112"/>
      <c r="U28" s="112"/>
      <c r="V28" s="112"/>
      <c r="W28" s="112"/>
      <c r="X28" s="112"/>
      <c r="Y28" s="163"/>
    </row>
    <row r="29" spans="1:25" x14ac:dyDescent="0.25">
      <c r="A29" s="138"/>
      <c r="B29" s="139"/>
      <c r="C29" s="140"/>
      <c r="D29" s="112"/>
      <c r="E29" s="130"/>
      <c r="F29" s="131"/>
      <c r="G29" s="111"/>
      <c r="H29" s="112"/>
      <c r="I29" s="112"/>
      <c r="J29" s="113"/>
      <c r="K29" s="114"/>
      <c r="L29" s="112"/>
      <c r="M29" s="112"/>
      <c r="N29" s="112"/>
      <c r="O29" s="115"/>
      <c r="P29" s="115"/>
      <c r="Q29" s="116"/>
      <c r="R29" s="117"/>
      <c r="S29" s="118"/>
      <c r="T29" s="112"/>
      <c r="U29" s="112"/>
      <c r="V29" s="112"/>
      <c r="W29" s="112"/>
      <c r="X29" s="112"/>
      <c r="Y29" s="163"/>
    </row>
    <row r="30" spans="1:25" x14ac:dyDescent="0.25">
      <c r="A30" s="138"/>
      <c r="B30" s="139"/>
      <c r="C30" s="140"/>
      <c r="D30" s="112"/>
      <c r="E30" s="130"/>
      <c r="F30" s="131"/>
      <c r="G30" s="111"/>
      <c r="H30" s="112"/>
      <c r="I30" s="112"/>
      <c r="J30" s="113"/>
      <c r="K30" s="114"/>
      <c r="L30" s="112"/>
      <c r="M30" s="112"/>
      <c r="N30" s="112"/>
      <c r="O30" s="115"/>
      <c r="P30" s="115"/>
      <c r="Q30" s="116"/>
      <c r="R30" s="117"/>
      <c r="S30" s="118"/>
      <c r="T30" s="112"/>
      <c r="U30" s="112"/>
      <c r="V30" s="112"/>
      <c r="W30" s="112"/>
      <c r="X30" s="112"/>
      <c r="Y30" s="163"/>
    </row>
    <row r="31" spans="1:25" x14ac:dyDescent="0.25">
      <c r="A31" s="138"/>
      <c r="B31" s="139"/>
      <c r="C31" s="140"/>
      <c r="D31" s="112"/>
      <c r="E31" s="130"/>
      <c r="F31" s="131"/>
      <c r="G31" s="111"/>
      <c r="H31" s="112"/>
      <c r="I31" s="112"/>
      <c r="J31" s="113"/>
      <c r="K31" s="114"/>
      <c r="L31" s="112"/>
      <c r="M31" s="112"/>
      <c r="N31" s="112"/>
      <c r="O31" s="115"/>
      <c r="P31" s="115"/>
      <c r="Q31" s="116"/>
      <c r="R31" s="117"/>
      <c r="S31" s="118"/>
      <c r="T31" s="112"/>
      <c r="U31" s="112"/>
      <c r="V31" s="112"/>
      <c r="W31" s="112"/>
      <c r="X31" s="112"/>
      <c r="Y31" s="163"/>
    </row>
    <row r="32" spans="1:25" x14ac:dyDescent="0.25">
      <c r="A32" s="138"/>
      <c r="B32" s="139"/>
      <c r="C32" s="140"/>
      <c r="D32" s="112"/>
      <c r="E32" s="130"/>
      <c r="F32" s="131"/>
      <c r="G32" s="111"/>
      <c r="H32" s="112"/>
      <c r="I32" s="112"/>
      <c r="J32" s="113"/>
      <c r="K32" s="114"/>
      <c r="L32" s="112"/>
      <c r="M32" s="112"/>
      <c r="N32" s="112"/>
      <c r="O32" s="115"/>
      <c r="P32" s="115"/>
      <c r="Q32" s="116"/>
      <c r="R32" s="117"/>
      <c r="S32" s="118"/>
      <c r="T32" s="112"/>
      <c r="U32" s="112"/>
      <c r="V32" s="112"/>
      <c r="W32" s="112"/>
      <c r="X32" s="112"/>
      <c r="Y32" s="163"/>
    </row>
    <row r="33" spans="1:25" x14ac:dyDescent="0.25">
      <c r="A33" s="138"/>
      <c r="B33" s="139"/>
      <c r="C33" s="140"/>
      <c r="D33" s="112"/>
      <c r="E33" s="130"/>
      <c r="F33" s="131"/>
      <c r="G33" s="111"/>
      <c r="H33" s="112"/>
      <c r="I33" s="112"/>
      <c r="J33" s="113"/>
      <c r="K33" s="114"/>
      <c r="L33" s="112"/>
      <c r="M33" s="112"/>
      <c r="N33" s="112"/>
      <c r="O33" s="115"/>
      <c r="P33" s="115"/>
      <c r="Q33" s="116"/>
      <c r="R33" s="117"/>
      <c r="S33" s="118"/>
      <c r="T33" s="112"/>
      <c r="U33" s="112"/>
      <c r="V33" s="112"/>
      <c r="W33" s="112"/>
      <c r="X33" s="112"/>
      <c r="Y33" s="163"/>
    </row>
    <row r="34" spans="1:25" x14ac:dyDescent="0.25">
      <c r="A34" s="138"/>
      <c r="B34" s="139"/>
      <c r="C34" s="140"/>
      <c r="D34" s="112"/>
      <c r="E34" s="130"/>
      <c r="F34" s="131"/>
      <c r="G34" s="111"/>
      <c r="H34" s="112"/>
      <c r="I34" s="112"/>
      <c r="J34" s="113"/>
      <c r="K34" s="114"/>
      <c r="L34" s="112"/>
      <c r="M34" s="112"/>
      <c r="N34" s="112"/>
      <c r="O34" s="115"/>
      <c r="P34" s="115"/>
      <c r="Q34" s="116"/>
      <c r="R34" s="117"/>
      <c r="S34" s="118"/>
      <c r="T34" s="112"/>
      <c r="U34" s="112"/>
      <c r="V34" s="112"/>
      <c r="W34" s="112"/>
      <c r="X34" s="112"/>
      <c r="Y34" s="163"/>
    </row>
    <row r="35" spans="1:25" x14ac:dyDescent="0.25">
      <c r="A35" s="138"/>
      <c r="B35" s="139"/>
      <c r="C35" s="140"/>
      <c r="D35" s="112"/>
      <c r="E35" s="130"/>
      <c r="F35" s="131"/>
      <c r="G35" s="111"/>
      <c r="H35" s="112"/>
      <c r="I35" s="112"/>
      <c r="J35" s="113"/>
      <c r="K35" s="114"/>
      <c r="L35" s="112"/>
      <c r="M35" s="112"/>
      <c r="N35" s="112"/>
      <c r="O35" s="115"/>
      <c r="P35" s="115"/>
      <c r="Q35" s="116"/>
      <c r="R35" s="117"/>
      <c r="S35" s="118"/>
      <c r="T35" s="112"/>
      <c r="U35" s="112"/>
      <c r="V35" s="112"/>
      <c r="W35" s="112"/>
      <c r="X35" s="112"/>
      <c r="Y35" s="163"/>
    </row>
    <row r="36" spans="1:25" x14ac:dyDescent="0.25">
      <c r="A36" s="138"/>
      <c r="B36" s="139"/>
      <c r="C36" s="140"/>
      <c r="D36" s="112"/>
      <c r="E36" s="130"/>
      <c r="F36" s="131"/>
      <c r="G36" s="111"/>
      <c r="H36" s="112"/>
      <c r="I36" s="112"/>
      <c r="J36" s="113"/>
      <c r="K36" s="114"/>
      <c r="L36" s="112"/>
      <c r="M36" s="112"/>
      <c r="N36" s="112"/>
      <c r="O36" s="115"/>
      <c r="P36" s="115"/>
      <c r="Q36" s="116"/>
      <c r="R36" s="117"/>
      <c r="S36" s="118"/>
      <c r="T36" s="112"/>
      <c r="U36" s="112"/>
      <c r="V36" s="112"/>
      <c r="W36" s="112"/>
      <c r="X36" s="112"/>
      <c r="Y36" s="163"/>
    </row>
    <row r="37" spans="1:25" x14ac:dyDescent="0.25">
      <c r="A37" s="138"/>
      <c r="B37" s="139"/>
      <c r="C37" s="140"/>
      <c r="D37" s="112"/>
      <c r="E37" s="130"/>
      <c r="F37" s="131"/>
      <c r="G37" s="111"/>
      <c r="H37" s="112"/>
      <c r="I37" s="112"/>
      <c r="J37" s="113"/>
      <c r="K37" s="114"/>
      <c r="L37" s="112"/>
      <c r="M37" s="112"/>
      <c r="N37" s="112"/>
      <c r="O37" s="115"/>
      <c r="P37" s="115"/>
      <c r="Q37" s="116"/>
      <c r="R37" s="117"/>
      <c r="S37" s="118"/>
      <c r="T37" s="112"/>
      <c r="U37" s="112"/>
      <c r="V37" s="112"/>
      <c r="W37" s="112"/>
      <c r="X37" s="112"/>
      <c r="Y37" s="163"/>
    </row>
    <row r="38" spans="1:25" x14ac:dyDescent="0.25">
      <c r="A38" s="138"/>
      <c r="B38" s="139"/>
      <c r="C38" s="140"/>
      <c r="D38" s="112"/>
      <c r="E38" s="130"/>
      <c r="F38" s="131"/>
      <c r="G38" s="111"/>
      <c r="H38" s="112"/>
      <c r="I38" s="112"/>
      <c r="J38" s="113"/>
      <c r="K38" s="114"/>
      <c r="L38" s="112"/>
      <c r="M38" s="112"/>
      <c r="N38" s="112"/>
      <c r="O38" s="115"/>
      <c r="P38" s="115"/>
      <c r="Q38" s="116"/>
      <c r="R38" s="117"/>
      <c r="S38" s="118"/>
      <c r="T38" s="112"/>
      <c r="U38" s="112"/>
      <c r="V38" s="112"/>
      <c r="W38" s="112"/>
      <c r="X38" s="112"/>
      <c r="Y38" s="163"/>
    </row>
    <row r="39" spans="1:25" x14ac:dyDescent="0.25">
      <c r="A39" s="138"/>
      <c r="B39" s="139"/>
      <c r="C39" s="140"/>
      <c r="D39" s="112"/>
      <c r="E39" s="130"/>
      <c r="F39" s="131"/>
      <c r="G39" s="111"/>
      <c r="H39" s="112"/>
      <c r="I39" s="112"/>
      <c r="J39" s="113"/>
      <c r="K39" s="114"/>
      <c r="L39" s="112"/>
      <c r="M39" s="112"/>
      <c r="N39" s="112"/>
      <c r="O39" s="115"/>
      <c r="P39" s="115"/>
      <c r="Q39" s="116"/>
      <c r="R39" s="117"/>
      <c r="S39" s="118"/>
      <c r="T39" s="112"/>
      <c r="U39" s="112"/>
      <c r="V39" s="112"/>
      <c r="W39" s="112"/>
      <c r="X39" s="112"/>
      <c r="Y39" s="163"/>
    </row>
    <row r="40" spans="1:25" x14ac:dyDescent="0.25">
      <c r="A40" s="138"/>
      <c r="B40" s="139"/>
      <c r="C40" s="140"/>
      <c r="D40" s="112"/>
      <c r="E40" s="130"/>
      <c r="F40" s="131"/>
      <c r="G40" s="111"/>
      <c r="H40" s="112"/>
      <c r="I40" s="112"/>
      <c r="J40" s="113"/>
      <c r="K40" s="114"/>
      <c r="L40" s="112"/>
      <c r="M40" s="112"/>
      <c r="N40" s="112"/>
      <c r="O40" s="115"/>
      <c r="P40" s="115"/>
      <c r="Q40" s="116"/>
      <c r="R40" s="117"/>
      <c r="S40" s="118"/>
      <c r="T40" s="112"/>
      <c r="U40" s="112"/>
      <c r="V40" s="112"/>
      <c r="W40" s="112"/>
      <c r="X40" s="112"/>
      <c r="Y40" s="163"/>
    </row>
    <row r="41" spans="1:25" x14ac:dyDescent="0.25">
      <c r="A41" s="138"/>
      <c r="B41" s="139"/>
      <c r="C41" s="140"/>
      <c r="D41" s="112"/>
      <c r="E41" s="130"/>
      <c r="F41" s="131"/>
      <c r="G41" s="111"/>
      <c r="H41" s="112"/>
      <c r="I41" s="112"/>
      <c r="J41" s="113"/>
      <c r="K41" s="114"/>
      <c r="L41" s="112"/>
      <c r="M41" s="112"/>
      <c r="N41" s="112"/>
      <c r="O41" s="115"/>
      <c r="P41" s="115"/>
      <c r="Q41" s="116"/>
      <c r="R41" s="117"/>
      <c r="S41" s="118"/>
      <c r="T41" s="112"/>
      <c r="U41" s="112"/>
      <c r="V41" s="112"/>
      <c r="W41" s="112"/>
      <c r="X41" s="112"/>
      <c r="Y41" s="163"/>
    </row>
    <row r="42" spans="1:25" x14ac:dyDescent="0.25">
      <c r="A42" s="138"/>
      <c r="B42" s="139"/>
      <c r="C42" s="140"/>
      <c r="D42" s="112"/>
      <c r="E42" s="130"/>
      <c r="F42" s="131"/>
      <c r="G42" s="111"/>
      <c r="H42" s="112"/>
      <c r="I42" s="112"/>
      <c r="J42" s="113"/>
      <c r="K42" s="114"/>
      <c r="L42" s="112"/>
      <c r="M42" s="112"/>
      <c r="N42" s="112"/>
      <c r="O42" s="115"/>
      <c r="P42" s="115"/>
      <c r="Q42" s="116"/>
      <c r="R42" s="117"/>
      <c r="S42" s="118"/>
      <c r="T42" s="112"/>
      <c r="U42" s="112"/>
      <c r="V42" s="112"/>
      <c r="W42" s="112"/>
      <c r="X42" s="112"/>
      <c r="Y42" s="163"/>
    </row>
    <row r="43" spans="1:25" x14ac:dyDescent="0.25">
      <c r="A43" s="138"/>
      <c r="B43" s="139"/>
      <c r="C43" s="140"/>
      <c r="D43" s="112"/>
      <c r="E43" s="130"/>
      <c r="F43" s="131"/>
      <c r="G43" s="111"/>
      <c r="H43" s="112"/>
      <c r="I43" s="112"/>
      <c r="J43" s="113"/>
      <c r="K43" s="114"/>
      <c r="L43" s="112"/>
      <c r="M43" s="112"/>
      <c r="N43" s="112"/>
      <c r="O43" s="115"/>
      <c r="P43" s="115"/>
      <c r="Q43" s="116"/>
      <c r="R43" s="117"/>
      <c r="S43" s="118"/>
      <c r="T43" s="112"/>
      <c r="U43" s="112"/>
      <c r="V43" s="112"/>
      <c r="W43" s="112"/>
      <c r="X43" s="112"/>
      <c r="Y43" s="163"/>
    </row>
    <row r="44" spans="1:25" x14ac:dyDescent="0.25">
      <c r="A44" s="138"/>
      <c r="B44" s="139"/>
      <c r="C44" s="140"/>
      <c r="D44" s="112"/>
      <c r="E44" s="130"/>
      <c r="F44" s="131"/>
      <c r="G44" s="111"/>
      <c r="H44" s="112"/>
      <c r="I44" s="112"/>
      <c r="J44" s="113"/>
      <c r="K44" s="114"/>
      <c r="L44" s="112"/>
      <c r="M44" s="112"/>
      <c r="N44" s="112"/>
      <c r="O44" s="115"/>
      <c r="P44" s="115"/>
      <c r="Q44" s="116"/>
      <c r="R44" s="117"/>
      <c r="S44" s="118"/>
      <c r="T44" s="112"/>
      <c r="U44" s="112"/>
      <c r="V44" s="112"/>
      <c r="W44" s="112"/>
      <c r="X44" s="112"/>
      <c r="Y44" s="163"/>
    </row>
    <row r="45" spans="1:25" x14ac:dyDescent="0.25">
      <c r="A45" s="125"/>
      <c r="B45" s="142"/>
      <c r="C45" s="143"/>
      <c r="D45" s="120"/>
      <c r="E45" s="130"/>
      <c r="F45" s="131"/>
      <c r="G45" s="119"/>
      <c r="H45" s="120"/>
      <c r="I45" s="120"/>
      <c r="J45" s="121"/>
      <c r="K45" s="122"/>
      <c r="L45" s="120"/>
      <c r="M45" s="120"/>
      <c r="N45" s="120"/>
      <c r="O45" s="123"/>
      <c r="P45" s="115"/>
      <c r="Q45" s="116"/>
      <c r="R45" s="117"/>
      <c r="S45" s="118"/>
      <c r="T45" s="120"/>
      <c r="U45" s="112"/>
      <c r="V45" s="112"/>
      <c r="W45" s="112"/>
      <c r="X45" s="120"/>
      <c r="Y45" s="162"/>
    </row>
    <row r="46" spans="1:25" x14ac:dyDescent="0.25">
      <c r="A46" s="125"/>
      <c r="B46" s="142"/>
      <c r="C46" s="143"/>
      <c r="D46" s="120"/>
      <c r="E46" s="130"/>
      <c r="F46" s="131"/>
      <c r="G46" s="119"/>
      <c r="H46" s="120"/>
      <c r="I46" s="120"/>
      <c r="J46" s="121"/>
      <c r="K46" s="122"/>
      <c r="L46" s="120"/>
      <c r="M46" s="120"/>
      <c r="N46" s="120"/>
      <c r="O46" s="123"/>
      <c r="P46" s="115"/>
      <c r="Q46" s="116"/>
      <c r="R46" s="117"/>
      <c r="S46" s="118"/>
      <c r="T46" s="120"/>
      <c r="U46" s="112"/>
      <c r="V46" s="112"/>
      <c r="W46" s="112"/>
      <c r="X46" s="120"/>
      <c r="Y46" s="162"/>
    </row>
    <row r="47" spans="1:25" x14ac:dyDescent="0.25">
      <c r="A47" s="125"/>
      <c r="B47" s="142"/>
      <c r="C47" s="143"/>
      <c r="D47" s="120"/>
      <c r="E47" s="130"/>
      <c r="F47" s="131"/>
      <c r="G47" s="119"/>
      <c r="H47" s="120"/>
      <c r="I47" s="120"/>
      <c r="J47" s="121"/>
      <c r="K47" s="122"/>
      <c r="L47" s="120"/>
      <c r="M47" s="120"/>
      <c r="N47" s="120"/>
      <c r="O47" s="123"/>
      <c r="P47" s="115"/>
      <c r="Q47" s="116"/>
      <c r="R47" s="117"/>
      <c r="S47" s="118"/>
      <c r="T47" s="120"/>
      <c r="U47" s="112"/>
      <c r="V47" s="112"/>
      <c r="W47" s="112"/>
      <c r="X47" s="120"/>
      <c r="Y47" s="162"/>
    </row>
    <row r="48" spans="1:25" x14ac:dyDescent="0.25">
      <c r="A48" s="125"/>
      <c r="B48" s="142"/>
      <c r="C48" s="143"/>
      <c r="D48" s="120"/>
      <c r="E48" s="130"/>
      <c r="F48" s="131"/>
      <c r="G48" s="119"/>
      <c r="H48" s="120"/>
      <c r="I48" s="120"/>
      <c r="J48" s="121"/>
      <c r="K48" s="122"/>
      <c r="L48" s="120"/>
      <c r="M48" s="120"/>
      <c r="N48" s="120"/>
      <c r="O48" s="123"/>
      <c r="P48" s="115"/>
      <c r="Q48" s="116"/>
      <c r="R48" s="117"/>
      <c r="S48" s="118"/>
      <c r="T48" s="120"/>
      <c r="U48" s="112"/>
      <c r="V48" s="112"/>
      <c r="W48" s="112"/>
      <c r="X48" s="120"/>
      <c r="Y48" s="162"/>
    </row>
    <row r="49" spans="1:25" x14ac:dyDescent="0.25">
      <c r="A49" s="125"/>
      <c r="B49" s="142"/>
      <c r="C49" s="143"/>
      <c r="D49" s="120"/>
      <c r="E49" s="130"/>
      <c r="F49" s="131"/>
      <c r="G49" s="119"/>
      <c r="H49" s="120"/>
      <c r="I49" s="120"/>
      <c r="J49" s="121"/>
      <c r="K49" s="122"/>
      <c r="L49" s="120"/>
      <c r="M49" s="120"/>
      <c r="N49" s="120"/>
      <c r="O49" s="123"/>
      <c r="P49" s="115"/>
      <c r="Q49" s="116"/>
      <c r="R49" s="117"/>
      <c r="S49" s="118"/>
      <c r="T49" s="120"/>
      <c r="U49" s="112"/>
      <c r="V49" s="112"/>
      <c r="W49" s="112"/>
      <c r="X49" s="120"/>
      <c r="Y49" s="162"/>
    </row>
    <row r="50" spans="1:25" x14ac:dyDescent="0.25">
      <c r="A50" s="125"/>
      <c r="B50" s="142"/>
      <c r="C50" s="143"/>
      <c r="D50" s="120"/>
      <c r="E50" s="130"/>
      <c r="F50" s="131"/>
      <c r="G50" s="119"/>
      <c r="H50" s="120"/>
      <c r="I50" s="120"/>
      <c r="J50" s="121"/>
      <c r="K50" s="122"/>
      <c r="L50" s="120"/>
      <c r="M50" s="120"/>
      <c r="N50" s="120"/>
      <c r="O50" s="123"/>
      <c r="P50" s="115"/>
      <c r="Q50" s="116"/>
      <c r="R50" s="117"/>
      <c r="S50" s="118"/>
      <c r="T50" s="120"/>
      <c r="U50" s="112"/>
      <c r="V50" s="112"/>
      <c r="W50" s="112"/>
      <c r="X50" s="120"/>
      <c r="Y50" s="162"/>
    </row>
    <row r="51" spans="1:25" x14ac:dyDescent="0.25">
      <c r="A51" s="125"/>
      <c r="B51" s="142"/>
      <c r="C51" s="143"/>
      <c r="D51" s="120"/>
      <c r="E51" s="130"/>
      <c r="F51" s="131"/>
      <c r="G51" s="119"/>
      <c r="H51" s="120"/>
      <c r="I51" s="120"/>
      <c r="J51" s="121"/>
      <c r="K51" s="122"/>
      <c r="L51" s="120"/>
      <c r="M51" s="120"/>
      <c r="N51" s="120"/>
      <c r="O51" s="123"/>
      <c r="P51" s="115"/>
      <c r="Q51" s="116"/>
      <c r="R51" s="117"/>
      <c r="S51" s="118"/>
      <c r="T51" s="120"/>
      <c r="U51" s="112"/>
      <c r="V51" s="112"/>
      <c r="W51" s="112"/>
      <c r="X51" s="120"/>
      <c r="Y51" s="162"/>
    </row>
    <row r="52" spans="1:25" x14ac:dyDescent="0.25">
      <c r="A52" s="125"/>
      <c r="B52" s="142"/>
      <c r="C52" s="143"/>
      <c r="D52" s="120"/>
      <c r="E52" s="130"/>
      <c r="F52" s="131"/>
      <c r="G52" s="119"/>
      <c r="H52" s="120"/>
      <c r="I52" s="120"/>
      <c r="J52" s="121"/>
      <c r="K52" s="122"/>
      <c r="L52" s="120"/>
      <c r="M52" s="120"/>
      <c r="N52" s="120"/>
      <c r="O52" s="123"/>
      <c r="P52" s="115"/>
      <c r="Q52" s="116"/>
      <c r="R52" s="117"/>
      <c r="S52" s="118"/>
      <c r="T52" s="120"/>
      <c r="U52" s="112"/>
      <c r="V52" s="112"/>
      <c r="W52" s="112"/>
      <c r="X52" s="120"/>
      <c r="Y52" s="162"/>
    </row>
    <row r="53" spans="1:25" x14ac:dyDescent="0.25">
      <c r="A53" s="125"/>
      <c r="B53" s="142"/>
      <c r="C53" s="143"/>
      <c r="D53" s="120"/>
      <c r="E53" s="130"/>
      <c r="F53" s="131"/>
      <c r="G53" s="119"/>
      <c r="H53" s="120"/>
      <c r="I53" s="120"/>
      <c r="J53" s="121"/>
      <c r="K53" s="122"/>
      <c r="L53" s="120"/>
      <c r="M53" s="120"/>
      <c r="N53" s="120"/>
      <c r="O53" s="123"/>
      <c r="P53" s="115"/>
      <c r="Q53" s="116"/>
      <c r="R53" s="117"/>
      <c r="S53" s="118"/>
      <c r="T53" s="120"/>
      <c r="U53" s="112"/>
      <c r="V53" s="112"/>
      <c r="W53" s="112"/>
      <c r="X53" s="120"/>
      <c r="Y53" s="162"/>
    </row>
    <row r="54" spans="1:25" x14ac:dyDescent="0.25">
      <c r="A54" s="125"/>
      <c r="B54" s="142"/>
      <c r="C54" s="143"/>
      <c r="D54" s="120"/>
      <c r="E54" s="130"/>
      <c r="F54" s="131"/>
      <c r="G54" s="119"/>
      <c r="H54" s="120"/>
      <c r="I54" s="120"/>
      <c r="J54" s="121"/>
      <c r="K54" s="122"/>
      <c r="L54" s="120"/>
      <c r="M54" s="120"/>
      <c r="N54" s="120"/>
      <c r="O54" s="123"/>
      <c r="P54" s="115"/>
      <c r="Q54" s="116"/>
      <c r="R54" s="117"/>
      <c r="S54" s="118"/>
      <c r="T54" s="120"/>
      <c r="U54" s="112"/>
      <c r="V54" s="112"/>
      <c r="W54" s="112"/>
      <c r="X54" s="120"/>
      <c r="Y54" s="162"/>
    </row>
    <row r="55" spans="1:25" x14ac:dyDescent="0.25">
      <c r="A55" s="125"/>
      <c r="B55" s="142"/>
      <c r="C55" s="143"/>
      <c r="D55" s="120"/>
      <c r="E55" s="130"/>
      <c r="F55" s="131"/>
      <c r="G55" s="119"/>
      <c r="H55" s="120"/>
      <c r="I55" s="120"/>
      <c r="J55" s="121"/>
      <c r="K55" s="122"/>
      <c r="L55" s="120"/>
      <c r="M55" s="120"/>
      <c r="N55" s="120"/>
      <c r="O55" s="123"/>
      <c r="P55" s="115"/>
      <c r="Q55" s="116"/>
      <c r="R55" s="117"/>
      <c r="S55" s="118"/>
      <c r="T55" s="120"/>
      <c r="U55" s="112"/>
      <c r="V55" s="112"/>
      <c r="W55" s="112"/>
      <c r="X55" s="120"/>
      <c r="Y55" s="162"/>
    </row>
    <row r="56" spans="1:25" x14ac:dyDescent="0.25">
      <c r="A56" s="125"/>
      <c r="B56" s="142"/>
      <c r="C56" s="143"/>
      <c r="D56" s="120"/>
      <c r="E56" s="130"/>
      <c r="F56" s="131"/>
      <c r="G56" s="119"/>
      <c r="H56" s="120"/>
      <c r="I56" s="120"/>
      <c r="J56" s="121"/>
      <c r="K56" s="122"/>
      <c r="L56" s="120"/>
      <c r="M56" s="120"/>
      <c r="N56" s="120"/>
      <c r="O56" s="123"/>
      <c r="P56" s="115"/>
      <c r="Q56" s="116"/>
      <c r="R56" s="117"/>
      <c r="S56" s="118"/>
      <c r="T56" s="120"/>
      <c r="U56" s="112"/>
      <c r="V56" s="112"/>
      <c r="W56" s="112"/>
      <c r="X56" s="120"/>
      <c r="Y56" s="162"/>
    </row>
    <row r="57" spans="1:25" x14ac:dyDescent="0.25">
      <c r="A57" s="125"/>
      <c r="B57" s="142"/>
      <c r="C57" s="143"/>
      <c r="D57" s="120"/>
      <c r="E57" s="130"/>
      <c r="F57" s="131"/>
      <c r="G57" s="119"/>
      <c r="H57" s="120"/>
      <c r="I57" s="120"/>
      <c r="J57" s="121"/>
      <c r="K57" s="122"/>
      <c r="L57" s="120"/>
      <c r="M57" s="120"/>
      <c r="N57" s="120"/>
      <c r="O57" s="123"/>
      <c r="P57" s="115"/>
      <c r="Q57" s="116"/>
      <c r="R57" s="117"/>
      <c r="S57" s="118"/>
      <c r="T57" s="120"/>
      <c r="U57" s="112"/>
      <c r="V57" s="112"/>
      <c r="W57" s="112"/>
      <c r="X57" s="120"/>
      <c r="Y57" s="162"/>
    </row>
    <row r="58" spans="1:25" x14ac:dyDescent="0.25">
      <c r="A58" s="125"/>
      <c r="B58" s="142"/>
      <c r="C58" s="143"/>
      <c r="D58" s="120"/>
      <c r="E58" s="130"/>
      <c r="F58" s="131"/>
      <c r="G58" s="119"/>
      <c r="H58" s="120"/>
      <c r="I58" s="120"/>
      <c r="J58" s="121"/>
      <c r="K58" s="122"/>
      <c r="L58" s="120"/>
      <c r="M58" s="120"/>
      <c r="N58" s="120"/>
      <c r="O58" s="123"/>
      <c r="P58" s="115"/>
      <c r="Q58" s="116"/>
      <c r="R58" s="117"/>
      <c r="S58" s="118"/>
      <c r="T58" s="120"/>
      <c r="U58" s="112"/>
      <c r="V58" s="112"/>
      <c r="W58" s="112"/>
      <c r="X58" s="120"/>
      <c r="Y58" s="162"/>
    </row>
    <row r="59" spans="1:25" x14ac:dyDescent="0.25">
      <c r="A59" s="125"/>
      <c r="B59" s="142"/>
      <c r="C59" s="143"/>
      <c r="D59" s="120"/>
      <c r="E59" s="130"/>
      <c r="F59" s="131"/>
      <c r="G59" s="119"/>
      <c r="H59" s="120"/>
      <c r="I59" s="120"/>
      <c r="J59" s="121"/>
      <c r="K59" s="122"/>
      <c r="L59" s="120"/>
      <c r="M59" s="120"/>
      <c r="N59" s="120"/>
      <c r="O59" s="123"/>
      <c r="P59" s="115"/>
      <c r="Q59" s="116"/>
      <c r="R59" s="117"/>
      <c r="S59" s="118"/>
      <c r="T59" s="120"/>
      <c r="U59" s="112"/>
      <c r="V59" s="112"/>
      <c r="W59" s="112"/>
      <c r="X59" s="120"/>
      <c r="Y59" s="162"/>
    </row>
    <row r="60" spans="1:25" x14ac:dyDescent="0.25">
      <c r="A60" s="125"/>
      <c r="B60" s="142"/>
      <c r="C60" s="143"/>
      <c r="D60" s="120"/>
      <c r="E60" s="130"/>
      <c r="F60" s="131"/>
      <c r="G60" s="119"/>
      <c r="H60" s="120"/>
      <c r="I60" s="120"/>
      <c r="J60" s="121"/>
      <c r="K60" s="122"/>
      <c r="L60" s="120"/>
      <c r="M60" s="120"/>
      <c r="N60" s="120"/>
      <c r="O60" s="123"/>
      <c r="P60" s="115"/>
      <c r="Q60" s="116"/>
      <c r="R60" s="117"/>
      <c r="S60" s="118"/>
      <c r="T60" s="120"/>
      <c r="U60" s="112"/>
      <c r="V60" s="112"/>
      <c r="W60" s="112"/>
      <c r="X60" s="120"/>
      <c r="Y60" s="162"/>
    </row>
    <row r="61" spans="1:25" x14ac:dyDescent="0.25">
      <c r="A61" s="125"/>
      <c r="B61" s="142"/>
      <c r="C61" s="143"/>
      <c r="D61" s="120"/>
      <c r="E61" s="130"/>
      <c r="F61" s="131"/>
      <c r="G61" s="119"/>
      <c r="H61" s="120"/>
      <c r="I61" s="120"/>
      <c r="J61" s="121"/>
      <c r="K61" s="122"/>
      <c r="L61" s="120"/>
      <c r="M61" s="120"/>
      <c r="N61" s="120"/>
      <c r="O61" s="123"/>
      <c r="P61" s="115"/>
      <c r="Q61" s="116"/>
      <c r="R61" s="117"/>
      <c r="S61" s="118"/>
      <c r="T61" s="120"/>
      <c r="U61" s="112"/>
      <c r="V61" s="112"/>
      <c r="W61" s="112"/>
      <c r="X61" s="120"/>
      <c r="Y61" s="162"/>
    </row>
    <row r="62" spans="1:25" x14ac:dyDescent="0.25">
      <c r="A62" s="125"/>
      <c r="B62" s="142"/>
      <c r="C62" s="143"/>
      <c r="D62" s="120"/>
      <c r="E62" s="130"/>
      <c r="F62" s="131"/>
      <c r="G62" s="119"/>
      <c r="H62" s="120"/>
      <c r="I62" s="120"/>
      <c r="J62" s="121"/>
      <c r="K62" s="122"/>
      <c r="L62" s="120"/>
      <c r="M62" s="120"/>
      <c r="N62" s="120"/>
      <c r="O62" s="123"/>
      <c r="P62" s="115"/>
      <c r="Q62" s="116"/>
      <c r="R62" s="117"/>
      <c r="S62" s="118"/>
      <c r="T62" s="120"/>
      <c r="U62" s="112"/>
      <c r="V62" s="112"/>
      <c r="W62" s="112"/>
      <c r="X62" s="120"/>
      <c r="Y62" s="162"/>
    </row>
    <row r="63" spans="1:25" x14ac:dyDescent="0.25">
      <c r="A63" s="125"/>
      <c r="B63" s="142"/>
      <c r="C63" s="143"/>
      <c r="D63" s="120"/>
      <c r="E63" s="130"/>
      <c r="F63" s="131"/>
      <c r="G63" s="119"/>
      <c r="H63" s="120"/>
      <c r="I63" s="120"/>
      <c r="J63" s="121"/>
      <c r="K63" s="122"/>
      <c r="L63" s="120"/>
      <c r="M63" s="120"/>
      <c r="N63" s="120"/>
      <c r="O63" s="123"/>
      <c r="P63" s="115"/>
      <c r="Q63" s="116"/>
      <c r="R63" s="117"/>
      <c r="S63" s="118"/>
      <c r="T63" s="120"/>
      <c r="U63" s="112"/>
      <c r="V63" s="112"/>
      <c r="W63" s="112"/>
      <c r="X63" s="120"/>
      <c r="Y63" s="162"/>
    </row>
    <row r="64" spans="1:25" x14ac:dyDescent="0.25">
      <c r="A64" s="125"/>
      <c r="B64" s="142"/>
      <c r="C64" s="143"/>
      <c r="D64" s="120"/>
      <c r="E64" s="130"/>
      <c r="F64" s="131"/>
      <c r="G64" s="119"/>
      <c r="H64" s="120"/>
      <c r="I64" s="120"/>
      <c r="J64" s="121"/>
      <c r="K64" s="122"/>
      <c r="L64" s="120"/>
      <c r="M64" s="120"/>
      <c r="N64" s="120"/>
      <c r="O64" s="123"/>
      <c r="P64" s="115"/>
      <c r="Q64" s="116"/>
      <c r="R64" s="117"/>
      <c r="S64" s="118"/>
      <c r="T64" s="120"/>
      <c r="U64" s="112"/>
      <c r="V64" s="112"/>
      <c r="W64" s="112"/>
      <c r="X64" s="120"/>
      <c r="Y64" s="162"/>
    </row>
    <row r="65" spans="1:25" x14ac:dyDescent="0.25">
      <c r="A65" s="125"/>
      <c r="B65" s="142"/>
      <c r="C65" s="143"/>
      <c r="D65" s="120"/>
      <c r="E65" s="130"/>
      <c r="F65" s="131"/>
      <c r="G65" s="119"/>
      <c r="H65" s="120"/>
      <c r="I65" s="120"/>
      <c r="J65" s="121"/>
      <c r="K65" s="122"/>
      <c r="L65" s="120"/>
      <c r="M65" s="120"/>
      <c r="N65" s="120"/>
      <c r="O65" s="123"/>
      <c r="P65" s="115"/>
      <c r="Q65" s="116"/>
      <c r="R65" s="117"/>
      <c r="S65" s="118"/>
      <c r="T65" s="120"/>
      <c r="U65" s="112"/>
      <c r="V65" s="112"/>
      <c r="W65" s="112"/>
      <c r="X65" s="120"/>
      <c r="Y65" s="162"/>
    </row>
    <row r="66" spans="1:25" x14ac:dyDescent="0.25">
      <c r="A66" s="125"/>
      <c r="B66" s="142"/>
      <c r="C66" s="143"/>
      <c r="D66" s="120"/>
      <c r="E66" s="130"/>
      <c r="F66" s="131"/>
      <c r="G66" s="119"/>
      <c r="H66" s="120"/>
      <c r="I66" s="120"/>
      <c r="J66" s="121"/>
      <c r="K66" s="122"/>
      <c r="L66" s="120"/>
      <c r="M66" s="120"/>
      <c r="N66" s="120"/>
      <c r="O66" s="123"/>
      <c r="P66" s="115"/>
      <c r="Q66" s="116"/>
      <c r="R66" s="117"/>
      <c r="S66" s="118"/>
      <c r="T66" s="120"/>
      <c r="U66" s="112"/>
      <c r="V66" s="112"/>
      <c r="W66" s="112"/>
      <c r="X66" s="120"/>
      <c r="Y66" s="162"/>
    </row>
    <row r="67" spans="1:25" x14ac:dyDescent="0.25">
      <c r="A67" s="125"/>
      <c r="B67" s="142"/>
      <c r="C67" s="143"/>
      <c r="D67" s="120"/>
      <c r="E67" s="130"/>
      <c r="F67" s="131"/>
      <c r="G67" s="119"/>
      <c r="H67" s="120"/>
      <c r="I67" s="120"/>
      <c r="J67" s="121"/>
      <c r="K67" s="122"/>
      <c r="L67" s="120"/>
      <c r="M67" s="120"/>
      <c r="N67" s="120"/>
      <c r="O67" s="123"/>
      <c r="P67" s="115"/>
      <c r="Q67" s="116"/>
      <c r="R67" s="117"/>
      <c r="S67" s="118"/>
      <c r="T67" s="120"/>
      <c r="U67" s="112"/>
      <c r="V67" s="112"/>
      <c r="W67" s="112"/>
      <c r="X67" s="120"/>
      <c r="Y67" s="162"/>
    </row>
    <row r="68" spans="1:25" x14ac:dyDescent="0.25">
      <c r="A68" s="125"/>
      <c r="B68" s="142"/>
      <c r="C68" s="143"/>
      <c r="D68" s="120"/>
      <c r="E68" s="130"/>
      <c r="F68" s="131"/>
      <c r="G68" s="119"/>
      <c r="H68" s="120"/>
      <c r="I68" s="120"/>
      <c r="J68" s="121"/>
      <c r="K68" s="122"/>
      <c r="L68" s="120"/>
      <c r="M68" s="120"/>
      <c r="N68" s="120"/>
      <c r="O68" s="123"/>
      <c r="P68" s="115"/>
      <c r="Q68" s="116"/>
      <c r="R68" s="117"/>
      <c r="S68" s="118"/>
      <c r="T68" s="120"/>
      <c r="U68" s="112"/>
      <c r="V68" s="112"/>
      <c r="W68" s="112"/>
      <c r="X68" s="120"/>
      <c r="Y68" s="162"/>
    </row>
    <row r="69" spans="1:25" x14ac:dyDescent="0.25">
      <c r="A69" s="125"/>
      <c r="B69" s="142"/>
      <c r="C69" s="143"/>
      <c r="D69" s="120"/>
      <c r="E69" s="130"/>
      <c r="F69" s="131"/>
      <c r="G69" s="119"/>
      <c r="H69" s="120"/>
      <c r="I69" s="120"/>
      <c r="J69" s="121"/>
      <c r="K69" s="122"/>
      <c r="L69" s="120"/>
      <c r="M69" s="120"/>
      <c r="N69" s="120"/>
      <c r="O69" s="123"/>
      <c r="P69" s="115"/>
      <c r="Q69" s="116"/>
      <c r="R69" s="117"/>
      <c r="S69" s="118"/>
      <c r="T69" s="120"/>
      <c r="U69" s="112"/>
      <c r="V69" s="112"/>
      <c r="W69" s="112"/>
      <c r="X69" s="120"/>
      <c r="Y69" s="162"/>
    </row>
    <row r="70" spans="1:25" x14ac:dyDescent="0.25">
      <c r="A70" s="125"/>
      <c r="B70" s="142"/>
      <c r="C70" s="143"/>
      <c r="D70" s="120"/>
      <c r="E70" s="130"/>
      <c r="F70" s="131"/>
      <c r="G70" s="119"/>
      <c r="H70" s="120"/>
      <c r="I70" s="120"/>
      <c r="J70" s="121"/>
      <c r="K70" s="122"/>
      <c r="L70" s="120"/>
      <c r="M70" s="120"/>
      <c r="N70" s="120"/>
      <c r="O70" s="123"/>
      <c r="P70" s="115"/>
      <c r="Q70" s="116"/>
      <c r="R70" s="117"/>
      <c r="S70" s="118"/>
      <c r="T70" s="120"/>
      <c r="U70" s="112"/>
      <c r="V70" s="112"/>
      <c r="W70" s="112"/>
      <c r="X70" s="120"/>
      <c r="Y70" s="162"/>
    </row>
    <row r="71" spans="1:25" x14ac:dyDescent="0.25">
      <c r="A71" s="125"/>
      <c r="B71" s="142"/>
      <c r="C71" s="143"/>
      <c r="D71" s="120"/>
      <c r="E71" s="130"/>
      <c r="F71" s="131"/>
      <c r="G71" s="119"/>
      <c r="H71" s="120"/>
      <c r="I71" s="120"/>
      <c r="J71" s="121"/>
      <c r="K71" s="122"/>
      <c r="L71" s="120"/>
      <c r="M71" s="120"/>
      <c r="N71" s="120"/>
      <c r="O71" s="123"/>
      <c r="P71" s="115"/>
      <c r="Q71" s="116"/>
      <c r="R71" s="117"/>
      <c r="S71" s="118"/>
      <c r="T71" s="120"/>
      <c r="U71" s="112"/>
      <c r="V71" s="112"/>
      <c r="W71" s="112"/>
      <c r="X71" s="120"/>
      <c r="Y71" s="162"/>
    </row>
    <row r="72" spans="1:25" x14ac:dyDescent="0.25">
      <c r="A72" s="138"/>
      <c r="B72" s="138"/>
      <c r="C72" s="138"/>
      <c r="D72" s="120"/>
      <c r="E72" s="130"/>
      <c r="F72" s="131"/>
      <c r="G72" s="119"/>
      <c r="H72" s="120"/>
      <c r="I72" s="120"/>
      <c r="J72" s="121"/>
      <c r="K72" s="122"/>
      <c r="L72" s="120"/>
      <c r="M72" s="120"/>
      <c r="N72" s="120"/>
      <c r="O72" s="123"/>
      <c r="P72" s="115"/>
      <c r="Q72" s="116"/>
      <c r="R72" s="117"/>
      <c r="S72" s="118"/>
      <c r="T72" s="120"/>
      <c r="U72" s="112"/>
      <c r="V72" s="112"/>
      <c r="W72" s="112"/>
      <c r="X72" s="120"/>
      <c r="Y72" s="162"/>
    </row>
    <row r="73" spans="1:25" x14ac:dyDescent="0.25">
      <c r="A73" s="125"/>
      <c r="B73" s="142"/>
      <c r="C73" s="143"/>
      <c r="D73" s="120"/>
      <c r="E73" s="130"/>
      <c r="F73" s="131"/>
      <c r="G73" s="119"/>
      <c r="H73" s="120"/>
      <c r="I73" s="120"/>
      <c r="J73" s="121"/>
      <c r="K73" s="122"/>
      <c r="L73" s="120"/>
      <c r="M73" s="120"/>
      <c r="N73" s="120"/>
      <c r="O73" s="123"/>
      <c r="P73" s="115"/>
      <c r="Q73" s="116"/>
      <c r="R73" s="117"/>
      <c r="S73" s="118"/>
      <c r="T73" s="120"/>
      <c r="U73" s="112"/>
      <c r="V73" s="112"/>
      <c r="W73" s="112"/>
      <c r="X73" s="120"/>
      <c r="Y73" s="162"/>
    </row>
    <row r="74" spans="1:25" x14ac:dyDescent="0.25">
      <c r="A74" s="138"/>
      <c r="B74" s="138"/>
      <c r="C74" s="138"/>
      <c r="D74" s="120"/>
      <c r="E74" s="130"/>
      <c r="F74" s="131"/>
      <c r="G74" s="119"/>
      <c r="H74" s="120"/>
      <c r="I74" s="120"/>
      <c r="J74" s="121"/>
      <c r="K74" s="122"/>
      <c r="L74" s="120"/>
      <c r="M74" s="120"/>
      <c r="N74" s="120"/>
      <c r="O74" s="123"/>
      <c r="P74" s="115"/>
      <c r="Q74" s="116"/>
      <c r="R74" s="117"/>
      <c r="S74" s="118"/>
      <c r="T74" s="120"/>
      <c r="U74" s="112"/>
      <c r="V74" s="112"/>
      <c r="W74" s="112"/>
      <c r="X74" s="120"/>
      <c r="Y74" s="162"/>
    </row>
    <row r="75" spans="1:25" x14ac:dyDescent="0.25">
      <c r="A75" s="125"/>
      <c r="B75" s="142"/>
      <c r="C75" s="143"/>
      <c r="D75" s="120"/>
      <c r="E75" s="130"/>
      <c r="F75" s="131"/>
      <c r="G75" s="119"/>
      <c r="H75" s="120"/>
      <c r="I75" s="120"/>
      <c r="J75" s="121"/>
      <c r="K75" s="122"/>
      <c r="L75" s="120"/>
      <c r="M75" s="120"/>
      <c r="N75" s="120"/>
      <c r="O75" s="123"/>
      <c r="P75" s="115"/>
      <c r="Q75" s="116"/>
      <c r="R75" s="117"/>
      <c r="S75" s="118"/>
      <c r="T75" s="120"/>
      <c r="U75" s="112"/>
      <c r="V75" s="112"/>
      <c r="W75" s="112"/>
      <c r="X75" s="120"/>
      <c r="Y75" s="162"/>
    </row>
    <row r="76" spans="1:25" x14ac:dyDescent="0.25">
      <c r="A76" s="125"/>
      <c r="B76" s="142"/>
      <c r="C76" s="143"/>
      <c r="D76" s="120"/>
      <c r="E76" s="130"/>
      <c r="F76" s="131"/>
      <c r="G76" s="119"/>
      <c r="H76" s="120"/>
      <c r="I76" s="120"/>
      <c r="J76" s="121"/>
      <c r="K76" s="122"/>
      <c r="L76" s="120"/>
      <c r="M76" s="120"/>
      <c r="N76" s="120"/>
      <c r="O76" s="123"/>
      <c r="P76" s="115"/>
      <c r="Q76" s="116"/>
      <c r="R76" s="117"/>
      <c r="S76" s="118"/>
      <c r="T76" s="120"/>
      <c r="U76" s="112"/>
      <c r="V76" s="112"/>
      <c r="W76" s="112"/>
      <c r="X76" s="120"/>
      <c r="Y76" s="162"/>
    </row>
    <row r="77" spans="1:25" x14ac:dyDescent="0.25">
      <c r="A77" s="125"/>
      <c r="B77" s="142"/>
      <c r="C77" s="143"/>
      <c r="D77" s="120"/>
      <c r="E77" s="130"/>
      <c r="F77" s="131"/>
      <c r="G77" s="119"/>
      <c r="H77" s="120"/>
      <c r="I77" s="120"/>
      <c r="J77" s="121"/>
      <c r="K77" s="122"/>
      <c r="L77" s="120"/>
      <c r="M77" s="120"/>
      <c r="N77" s="120"/>
      <c r="O77" s="123"/>
      <c r="P77" s="115"/>
      <c r="Q77" s="116"/>
      <c r="R77" s="117"/>
      <c r="S77" s="118"/>
      <c r="T77" s="120"/>
      <c r="U77" s="112"/>
      <c r="V77" s="112"/>
      <c r="W77" s="112"/>
      <c r="X77" s="120"/>
      <c r="Y77" s="162"/>
    </row>
    <row r="78" spans="1:25" x14ac:dyDescent="0.25">
      <c r="A78" s="125"/>
      <c r="B78" s="142"/>
      <c r="C78" s="143"/>
      <c r="D78" s="120"/>
      <c r="E78" s="130"/>
      <c r="F78" s="131"/>
      <c r="G78" s="119"/>
      <c r="H78" s="120"/>
      <c r="I78" s="120"/>
      <c r="J78" s="121"/>
      <c r="K78" s="122"/>
      <c r="L78" s="120"/>
      <c r="M78" s="120"/>
      <c r="N78" s="120"/>
      <c r="O78" s="123"/>
      <c r="P78" s="115"/>
      <c r="Q78" s="116"/>
      <c r="R78" s="117"/>
      <c r="S78" s="118"/>
      <c r="T78" s="120"/>
      <c r="U78" s="112"/>
      <c r="V78" s="112"/>
      <c r="W78" s="112"/>
      <c r="X78" s="120"/>
      <c r="Y78" s="162"/>
    </row>
    <row r="79" spans="1:25" x14ac:dyDescent="0.25">
      <c r="A79" s="125"/>
      <c r="B79" s="142"/>
      <c r="C79" s="143"/>
      <c r="D79" s="120"/>
      <c r="E79" s="130"/>
      <c r="F79" s="131"/>
      <c r="G79" s="119"/>
      <c r="H79" s="120"/>
      <c r="I79" s="120"/>
      <c r="J79" s="121"/>
      <c r="K79" s="122"/>
      <c r="L79" s="120"/>
      <c r="M79" s="120"/>
      <c r="N79" s="120"/>
      <c r="O79" s="123"/>
      <c r="P79" s="115"/>
      <c r="Q79" s="116"/>
      <c r="R79" s="117"/>
      <c r="S79" s="118"/>
      <c r="T79" s="120"/>
      <c r="U79" s="112"/>
      <c r="V79" s="112"/>
      <c r="W79" s="112"/>
      <c r="X79" s="120"/>
      <c r="Y79" s="162"/>
    </row>
    <row r="80" spans="1:25" x14ac:dyDescent="0.25">
      <c r="A80" s="125"/>
      <c r="B80" s="142"/>
      <c r="C80" s="143"/>
      <c r="D80" s="120"/>
      <c r="E80" s="130"/>
      <c r="F80" s="131"/>
      <c r="G80" s="119"/>
      <c r="H80" s="120"/>
      <c r="I80" s="120"/>
      <c r="J80" s="121"/>
      <c r="K80" s="122"/>
      <c r="L80" s="120"/>
      <c r="M80" s="120"/>
      <c r="N80" s="120"/>
      <c r="O80" s="123"/>
      <c r="P80" s="115"/>
      <c r="Q80" s="116"/>
      <c r="R80" s="117"/>
      <c r="S80" s="118"/>
      <c r="T80" s="120"/>
      <c r="U80" s="112"/>
      <c r="V80" s="112"/>
      <c r="W80" s="112"/>
      <c r="X80" s="120"/>
      <c r="Y80" s="162"/>
    </row>
    <row r="81" spans="1:25" x14ac:dyDescent="0.25">
      <c r="A81" s="125"/>
      <c r="B81" s="142"/>
      <c r="C81" s="143"/>
      <c r="D81" s="120"/>
      <c r="E81" s="130"/>
      <c r="F81" s="131"/>
      <c r="G81" s="119"/>
      <c r="H81" s="120"/>
      <c r="I81" s="120"/>
      <c r="J81" s="121"/>
      <c r="K81" s="122"/>
      <c r="L81" s="120"/>
      <c r="M81" s="120"/>
      <c r="N81" s="120"/>
      <c r="O81" s="123"/>
      <c r="P81" s="115"/>
      <c r="Q81" s="116"/>
      <c r="R81" s="117"/>
      <c r="S81" s="118"/>
      <c r="T81" s="120"/>
      <c r="U81" s="112"/>
      <c r="V81" s="112"/>
      <c r="W81" s="112"/>
      <c r="X81" s="120"/>
      <c r="Y81" s="162"/>
    </row>
    <row r="82" spans="1:25" x14ac:dyDescent="0.25">
      <c r="A82" s="125"/>
      <c r="B82" s="142"/>
      <c r="C82" s="143"/>
      <c r="D82" s="120"/>
      <c r="E82" s="130"/>
      <c r="F82" s="131"/>
      <c r="G82" s="119"/>
      <c r="H82" s="120"/>
      <c r="I82" s="120"/>
      <c r="J82" s="121"/>
      <c r="K82" s="122"/>
      <c r="L82" s="120"/>
      <c r="M82" s="120"/>
      <c r="N82" s="120"/>
      <c r="O82" s="123"/>
      <c r="P82" s="115"/>
      <c r="Q82" s="116"/>
      <c r="R82" s="117"/>
      <c r="S82" s="118"/>
      <c r="T82" s="120"/>
      <c r="U82" s="112"/>
      <c r="V82" s="112"/>
      <c r="W82" s="112"/>
      <c r="X82" s="120"/>
      <c r="Y82" s="162"/>
    </row>
    <row r="83" spans="1:25" x14ac:dyDescent="0.25">
      <c r="A83" s="125"/>
      <c r="B83" s="142"/>
      <c r="C83" s="143"/>
      <c r="D83" s="120"/>
      <c r="E83" s="130"/>
      <c r="F83" s="131"/>
      <c r="G83" s="119"/>
      <c r="H83" s="120"/>
      <c r="I83" s="120"/>
      <c r="J83" s="121"/>
      <c r="K83" s="122"/>
      <c r="L83" s="120"/>
      <c r="M83" s="120"/>
      <c r="N83" s="120"/>
      <c r="O83" s="123"/>
      <c r="P83" s="115"/>
      <c r="Q83" s="116"/>
      <c r="R83" s="117"/>
      <c r="S83" s="118"/>
      <c r="T83" s="120"/>
      <c r="U83" s="112"/>
      <c r="V83" s="112"/>
      <c r="W83" s="112"/>
      <c r="X83" s="120"/>
      <c r="Y83" s="162"/>
    </row>
    <row r="84" spans="1:25" x14ac:dyDescent="0.25">
      <c r="A84" s="125"/>
      <c r="B84" s="142"/>
      <c r="C84" s="143"/>
      <c r="D84" s="120"/>
      <c r="E84" s="130"/>
      <c r="F84" s="131"/>
      <c r="G84" s="119"/>
      <c r="H84" s="120"/>
      <c r="I84" s="120"/>
      <c r="J84" s="121"/>
      <c r="K84" s="122"/>
      <c r="L84" s="120"/>
      <c r="M84" s="120"/>
      <c r="N84" s="120"/>
      <c r="O84" s="123"/>
      <c r="P84" s="115"/>
      <c r="Q84" s="116"/>
      <c r="R84" s="117"/>
      <c r="S84" s="118"/>
      <c r="T84" s="120"/>
      <c r="U84" s="112"/>
      <c r="V84" s="112"/>
      <c r="W84" s="112"/>
      <c r="X84" s="120"/>
      <c r="Y84" s="162"/>
    </row>
    <row r="85" spans="1:25" x14ac:dyDescent="0.25">
      <c r="A85" s="125"/>
      <c r="B85" s="142"/>
      <c r="C85" s="143"/>
      <c r="D85" s="120"/>
      <c r="E85" s="130"/>
      <c r="F85" s="131"/>
      <c r="G85" s="119"/>
      <c r="H85" s="120"/>
      <c r="I85" s="120"/>
      <c r="J85" s="121"/>
      <c r="K85" s="122"/>
      <c r="L85" s="120"/>
      <c r="M85" s="120"/>
      <c r="N85" s="120"/>
      <c r="O85" s="123"/>
      <c r="P85" s="115"/>
      <c r="Q85" s="116"/>
      <c r="R85" s="117"/>
      <c r="S85" s="118"/>
      <c r="T85" s="120"/>
      <c r="U85" s="112"/>
      <c r="V85" s="112"/>
      <c r="W85" s="112"/>
      <c r="X85" s="120"/>
      <c r="Y85" s="162"/>
    </row>
    <row r="86" spans="1:25" x14ac:dyDescent="0.25">
      <c r="A86" s="125"/>
      <c r="B86" s="142"/>
      <c r="C86" s="143"/>
      <c r="D86" s="120"/>
      <c r="E86" s="130"/>
      <c r="F86" s="131"/>
      <c r="G86" s="119"/>
      <c r="H86" s="120"/>
      <c r="I86" s="120"/>
      <c r="J86" s="121"/>
      <c r="K86" s="122"/>
      <c r="L86" s="120"/>
      <c r="M86" s="120"/>
      <c r="N86" s="120"/>
      <c r="O86" s="123"/>
      <c r="P86" s="115"/>
      <c r="Q86" s="116"/>
      <c r="R86" s="117"/>
      <c r="S86" s="118"/>
      <c r="T86" s="120"/>
      <c r="U86" s="112"/>
      <c r="V86" s="112"/>
      <c r="W86" s="112"/>
      <c r="X86" s="120"/>
      <c r="Y86" s="162"/>
    </row>
    <row r="87" spans="1:25" x14ac:dyDescent="0.25">
      <c r="A87" s="125"/>
      <c r="B87" s="142"/>
      <c r="C87" s="143"/>
      <c r="D87" s="120"/>
      <c r="E87" s="130"/>
      <c r="F87" s="131"/>
      <c r="G87" s="119"/>
      <c r="H87" s="120"/>
      <c r="I87" s="120"/>
      <c r="J87" s="121"/>
      <c r="K87" s="122"/>
      <c r="L87" s="120"/>
      <c r="M87" s="120"/>
      <c r="N87" s="120"/>
      <c r="O87" s="123"/>
      <c r="P87" s="115"/>
      <c r="Q87" s="116"/>
      <c r="R87" s="117"/>
      <c r="S87" s="118"/>
      <c r="T87" s="120"/>
      <c r="U87" s="112"/>
      <c r="V87" s="112"/>
      <c r="W87" s="112"/>
      <c r="X87" s="120"/>
      <c r="Y87" s="162"/>
    </row>
    <row r="88" spans="1:25" x14ac:dyDescent="0.25">
      <c r="A88" s="125"/>
      <c r="B88" s="142"/>
      <c r="C88" s="143"/>
      <c r="D88" s="120"/>
      <c r="E88" s="130"/>
      <c r="F88" s="131"/>
      <c r="G88" s="119"/>
      <c r="H88" s="120"/>
      <c r="I88" s="120"/>
      <c r="J88" s="121"/>
      <c r="K88" s="122"/>
      <c r="L88" s="120"/>
      <c r="M88" s="120"/>
      <c r="N88" s="120"/>
      <c r="O88" s="123"/>
      <c r="P88" s="115"/>
      <c r="Q88" s="116"/>
      <c r="R88" s="117"/>
      <c r="S88" s="118"/>
      <c r="T88" s="120"/>
      <c r="U88" s="112"/>
      <c r="V88" s="112"/>
      <c r="W88" s="112"/>
      <c r="X88" s="120"/>
      <c r="Y88" s="162"/>
    </row>
    <row r="89" spans="1:25" x14ac:dyDescent="0.25">
      <c r="A89" s="125"/>
      <c r="B89" s="142"/>
      <c r="C89" s="143"/>
      <c r="D89" s="120"/>
      <c r="E89" s="130"/>
      <c r="F89" s="131"/>
      <c r="G89" s="119"/>
      <c r="H89" s="120"/>
      <c r="I89" s="120"/>
      <c r="J89" s="121"/>
      <c r="K89" s="122"/>
      <c r="L89" s="120"/>
      <c r="M89" s="120"/>
      <c r="N89" s="120"/>
      <c r="O89" s="123"/>
      <c r="P89" s="115"/>
      <c r="Q89" s="116"/>
      <c r="R89" s="117"/>
      <c r="S89" s="118"/>
      <c r="T89" s="120"/>
      <c r="U89" s="112"/>
      <c r="V89" s="112"/>
      <c r="W89" s="112"/>
      <c r="X89" s="120"/>
      <c r="Y89" s="162"/>
    </row>
    <row r="90" spans="1:25" x14ac:dyDescent="0.25">
      <c r="A90" s="125"/>
      <c r="B90" s="142"/>
      <c r="C90" s="143"/>
      <c r="D90" s="120"/>
      <c r="E90" s="130"/>
      <c r="F90" s="131"/>
      <c r="G90" s="119"/>
      <c r="H90" s="120"/>
      <c r="I90" s="120"/>
      <c r="J90" s="121"/>
      <c r="K90" s="122"/>
      <c r="L90" s="120"/>
      <c r="M90" s="120"/>
      <c r="N90" s="120"/>
      <c r="O90" s="123"/>
      <c r="P90" s="115"/>
      <c r="Q90" s="116"/>
      <c r="R90" s="117"/>
      <c r="S90" s="118"/>
      <c r="T90" s="120"/>
      <c r="U90" s="112"/>
      <c r="V90" s="112"/>
      <c r="W90" s="112"/>
      <c r="X90" s="120"/>
      <c r="Y90" s="162"/>
    </row>
    <row r="91" spans="1:25" x14ac:dyDescent="0.25">
      <c r="A91" s="125"/>
      <c r="B91" s="142"/>
      <c r="C91" s="143"/>
      <c r="D91" s="120"/>
      <c r="E91" s="130"/>
      <c r="F91" s="131"/>
      <c r="G91" s="119"/>
      <c r="H91" s="120"/>
      <c r="I91" s="120"/>
      <c r="J91" s="121"/>
      <c r="K91" s="122"/>
      <c r="L91" s="120"/>
      <c r="M91" s="120"/>
      <c r="N91" s="120"/>
      <c r="O91" s="123"/>
      <c r="P91" s="115"/>
      <c r="Q91" s="116"/>
      <c r="R91" s="117"/>
      <c r="S91" s="118"/>
      <c r="T91" s="120"/>
      <c r="U91" s="112"/>
      <c r="V91" s="112"/>
      <c r="W91" s="112"/>
      <c r="X91" s="120"/>
      <c r="Y91" s="162"/>
    </row>
    <row r="92" spans="1:25" x14ac:dyDescent="0.25">
      <c r="A92" s="125"/>
      <c r="B92" s="142"/>
      <c r="C92" s="143"/>
      <c r="D92" s="120"/>
      <c r="E92" s="130"/>
      <c r="F92" s="131"/>
      <c r="G92" s="119"/>
      <c r="H92" s="120"/>
      <c r="I92" s="120"/>
      <c r="J92" s="121"/>
      <c r="K92" s="122"/>
      <c r="L92" s="120"/>
      <c r="M92" s="120"/>
      <c r="N92" s="120"/>
      <c r="O92" s="123"/>
      <c r="P92" s="115"/>
      <c r="Q92" s="116"/>
      <c r="R92" s="117"/>
      <c r="S92" s="118"/>
      <c r="T92" s="120"/>
      <c r="U92" s="112"/>
      <c r="V92" s="112"/>
      <c r="W92" s="112"/>
      <c r="X92" s="120"/>
      <c r="Y92" s="162"/>
    </row>
    <row r="93" spans="1:25" x14ac:dyDescent="0.25">
      <c r="A93" s="125"/>
      <c r="B93" s="142"/>
      <c r="C93" s="143"/>
      <c r="D93" s="120"/>
      <c r="E93" s="130"/>
      <c r="F93" s="131"/>
      <c r="G93" s="119"/>
      <c r="H93" s="120"/>
      <c r="I93" s="120"/>
      <c r="J93" s="121"/>
      <c r="K93" s="122"/>
      <c r="L93" s="120"/>
      <c r="M93" s="120"/>
      <c r="N93" s="120"/>
      <c r="O93" s="123"/>
      <c r="P93" s="115"/>
      <c r="Q93" s="116"/>
      <c r="R93" s="117"/>
      <c r="S93" s="118"/>
      <c r="T93" s="120"/>
      <c r="U93" s="112"/>
      <c r="V93" s="112"/>
      <c r="W93" s="112"/>
      <c r="X93" s="120"/>
      <c r="Y93" s="162"/>
    </row>
    <row r="94" spans="1:25" x14ac:dyDescent="0.25">
      <c r="A94" s="125"/>
      <c r="B94" s="142"/>
      <c r="C94" s="143"/>
      <c r="D94" s="120"/>
      <c r="E94" s="130"/>
      <c r="F94" s="131"/>
      <c r="G94" s="119"/>
      <c r="H94" s="120"/>
      <c r="I94" s="120"/>
      <c r="J94" s="121"/>
      <c r="K94" s="122"/>
      <c r="L94" s="120"/>
      <c r="M94" s="120"/>
      <c r="N94" s="120"/>
      <c r="O94" s="123"/>
      <c r="P94" s="115"/>
      <c r="Q94" s="116"/>
      <c r="R94" s="117"/>
      <c r="S94" s="118"/>
      <c r="T94" s="120"/>
      <c r="U94" s="112"/>
      <c r="V94" s="112"/>
      <c r="W94" s="112"/>
      <c r="X94" s="120"/>
      <c r="Y94" s="162"/>
    </row>
    <row r="95" spans="1:25" x14ac:dyDescent="0.25">
      <c r="A95" s="125"/>
      <c r="B95" s="142"/>
      <c r="C95" s="143"/>
      <c r="D95" s="120"/>
      <c r="E95" s="130"/>
      <c r="F95" s="131"/>
      <c r="G95" s="119"/>
      <c r="H95" s="120"/>
      <c r="I95" s="120"/>
      <c r="J95" s="121"/>
      <c r="K95" s="122"/>
      <c r="L95" s="120"/>
      <c r="M95" s="120"/>
      <c r="N95" s="120"/>
      <c r="O95" s="123"/>
      <c r="P95" s="115"/>
      <c r="Q95" s="116"/>
      <c r="R95" s="117"/>
      <c r="S95" s="118"/>
      <c r="T95" s="120"/>
      <c r="U95" s="112"/>
      <c r="V95" s="112"/>
      <c r="W95" s="112"/>
      <c r="X95" s="120"/>
      <c r="Y95" s="162"/>
    </row>
    <row r="96" spans="1:25" x14ac:dyDescent="0.25">
      <c r="A96" s="125"/>
      <c r="B96" s="142"/>
      <c r="C96" s="143"/>
      <c r="D96" s="120"/>
      <c r="E96" s="130"/>
      <c r="F96" s="131"/>
      <c r="G96" s="119"/>
      <c r="H96" s="120"/>
      <c r="I96" s="120"/>
      <c r="J96" s="121"/>
      <c r="K96" s="122"/>
      <c r="L96" s="120"/>
      <c r="M96" s="120"/>
      <c r="N96" s="120"/>
      <c r="O96" s="123"/>
      <c r="P96" s="115"/>
      <c r="Q96" s="116"/>
      <c r="R96" s="117"/>
      <c r="S96" s="118"/>
      <c r="T96" s="120"/>
      <c r="U96" s="112"/>
      <c r="V96" s="112"/>
      <c r="W96" s="112"/>
      <c r="X96" s="120"/>
      <c r="Y96" s="162"/>
    </row>
    <row r="97" spans="1:25" x14ac:dyDescent="0.25">
      <c r="A97" s="125"/>
      <c r="B97" s="142"/>
      <c r="C97" s="143"/>
      <c r="D97" s="120"/>
      <c r="E97" s="130"/>
      <c r="F97" s="131"/>
      <c r="G97" s="119"/>
      <c r="H97" s="120"/>
      <c r="I97" s="120"/>
      <c r="J97" s="121"/>
      <c r="K97" s="122"/>
      <c r="L97" s="120"/>
      <c r="M97" s="120"/>
      <c r="N97" s="120"/>
      <c r="O97" s="123"/>
      <c r="P97" s="115"/>
      <c r="Q97" s="116"/>
      <c r="R97" s="117"/>
      <c r="S97" s="118"/>
      <c r="T97" s="120"/>
      <c r="U97" s="112"/>
      <c r="V97" s="112"/>
      <c r="W97" s="112"/>
      <c r="X97" s="120"/>
      <c r="Y97" s="162"/>
    </row>
    <row r="98" spans="1:25" x14ac:dyDescent="0.25">
      <c r="A98" s="125"/>
      <c r="B98" s="142"/>
      <c r="C98" s="143"/>
      <c r="D98" s="120"/>
      <c r="E98" s="130"/>
      <c r="F98" s="131"/>
      <c r="G98" s="119"/>
      <c r="H98" s="120"/>
      <c r="I98" s="120"/>
      <c r="J98" s="121"/>
      <c r="K98" s="122"/>
      <c r="L98" s="120"/>
      <c r="M98" s="120"/>
      <c r="N98" s="120"/>
      <c r="O98" s="123"/>
      <c r="P98" s="115"/>
      <c r="Q98" s="116"/>
      <c r="R98" s="117"/>
      <c r="S98" s="118"/>
      <c r="T98" s="120"/>
      <c r="U98" s="112"/>
      <c r="V98" s="112"/>
      <c r="W98" s="112"/>
      <c r="X98" s="120"/>
      <c r="Y98" s="162"/>
    </row>
    <row r="99" spans="1:25" x14ac:dyDescent="0.25">
      <c r="A99" s="125"/>
      <c r="B99" s="142"/>
      <c r="C99" s="143"/>
      <c r="D99" s="120"/>
      <c r="E99" s="130"/>
      <c r="F99" s="131"/>
      <c r="G99" s="119"/>
      <c r="H99" s="120"/>
      <c r="I99" s="120"/>
      <c r="J99" s="121"/>
      <c r="K99" s="122"/>
      <c r="L99" s="120"/>
      <c r="M99" s="120"/>
      <c r="N99" s="120"/>
      <c r="O99" s="123"/>
      <c r="P99" s="115"/>
      <c r="Q99" s="116"/>
      <c r="R99" s="117"/>
      <c r="S99" s="118"/>
      <c r="T99" s="120"/>
      <c r="U99" s="112"/>
      <c r="V99" s="112"/>
      <c r="W99" s="112"/>
      <c r="X99" s="120"/>
      <c r="Y99" s="162"/>
    </row>
    <row r="100" spans="1:25" x14ac:dyDescent="0.25">
      <c r="A100" s="125"/>
      <c r="B100" s="142"/>
      <c r="C100" s="143"/>
      <c r="D100" s="120"/>
      <c r="E100" s="130"/>
      <c r="F100" s="131"/>
      <c r="G100" s="119"/>
      <c r="H100" s="120"/>
      <c r="I100" s="120"/>
      <c r="J100" s="121"/>
      <c r="K100" s="122"/>
      <c r="L100" s="120"/>
      <c r="M100" s="120"/>
      <c r="N100" s="120"/>
      <c r="O100" s="123"/>
      <c r="P100" s="115"/>
      <c r="Q100" s="116"/>
      <c r="R100" s="117"/>
      <c r="S100" s="118"/>
      <c r="T100" s="120"/>
      <c r="U100" s="112"/>
      <c r="V100" s="112"/>
      <c r="W100" s="112"/>
      <c r="X100" s="120"/>
      <c r="Y100" s="162"/>
    </row>
    <row r="101" spans="1:25" x14ac:dyDescent="0.25">
      <c r="A101" s="125"/>
      <c r="B101" s="142"/>
      <c r="C101" s="143"/>
      <c r="D101" s="120"/>
      <c r="E101" s="130"/>
      <c r="F101" s="131"/>
      <c r="G101" s="119"/>
      <c r="H101" s="120"/>
      <c r="I101" s="120"/>
      <c r="J101" s="121"/>
      <c r="K101" s="122"/>
      <c r="L101" s="120"/>
      <c r="M101" s="120"/>
      <c r="N101" s="120"/>
      <c r="O101" s="123"/>
      <c r="P101" s="115"/>
      <c r="Q101" s="116"/>
      <c r="R101" s="117"/>
      <c r="S101" s="118"/>
      <c r="T101" s="120"/>
      <c r="U101" s="112"/>
      <c r="V101" s="112"/>
      <c r="W101" s="112"/>
      <c r="X101" s="120"/>
      <c r="Y101" s="162"/>
    </row>
    <row r="102" spans="1:25" x14ac:dyDescent="0.25">
      <c r="A102" s="125"/>
      <c r="B102" s="142"/>
      <c r="C102" s="143"/>
      <c r="D102" s="120"/>
      <c r="E102" s="130"/>
      <c r="F102" s="131"/>
      <c r="G102" s="119"/>
      <c r="H102" s="120"/>
      <c r="I102" s="120"/>
      <c r="J102" s="121"/>
      <c r="K102" s="122"/>
      <c r="L102" s="120"/>
      <c r="M102" s="120"/>
      <c r="N102" s="120"/>
      <c r="O102" s="123"/>
      <c r="P102" s="115"/>
      <c r="Q102" s="116"/>
      <c r="R102" s="117"/>
      <c r="S102" s="118"/>
      <c r="T102" s="120"/>
      <c r="U102" s="112"/>
      <c r="V102" s="112"/>
      <c r="W102" s="112"/>
      <c r="X102" s="120"/>
      <c r="Y102" s="162"/>
    </row>
    <row r="103" spans="1:25" x14ac:dyDescent="0.25">
      <c r="A103" s="125"/>
      <c r="B103" s="142"/>
      <c r="C103" s="143"/>
      <c r="D103" s="120"/>
      <c r="E103" s="130"/>
      <c r="F103" s="131"/>
      <c r="G103" s="119"/>
      <c r="H103" s="120"/>
      <c r="I103" s="120"/>
      <c r="J103" s="121"/>
      <c r="K103" s="122"/>
      <c r="L103" s="120"/>
      <c r="M103" s="120"/>
      <c r="N103" s="120"/>
      <c r="O103" s="123"/>
      <c r="P103" s="115"/>
      <c r="Q103" s="116"/>
      <c r="R103" s="117"/>
      <c r="S103" s="118"/>
      <c r="T103" s="120"/>
      <c r="U103" s="112"/>
      <c r="V103" s="112"/>
      <c r="W103" s="112"/>
      <c r="X103" s="120"/>
      <c r="Y103" s="162"/>
    </row>
    <row r="104" spans="1:25" x14ac:dyDescent="0.25">
      <c r="A104" s="125"/>
      <c r="B104" s="142"/>
      <c r="C104" s="143"/>
      <c r="D104" s="120"/>
      <c r="E104" s="130"/>
      <c r="F104" s="131"/>
      <c r="G104" s="119"/>
      <c r="H104" s="120"/>
      <c r="I104" s="120"/>
      <c r="J104" s="121"/>
      <c r="K104" s="122"/>
      <c r="L104" s="120"/>
      <c r="M104" s="120"/>
      <c r="N104" s="120"/>
      <c r="O104" s="123"/>
      <c r="P104" s="115"/>
      <c r="Q104" s="116"/>
      <c r="R104" s="117"/>
      <c r="S104" s="118"/>
      <c r="T104" s="120"/>
      <c r="U104" s="112"/>
      <c r="V104" s="112"/>
      <c r="W104" s="112"/>
      <c r="X104" s="120"/>
      <c r="Y104" s="162"/>
    </row>
    <row r="105" spans="1:25" x14ac:dyDescent="0.25">
      <c r="A105" s="125"/>
      <c r="B105" s="142"/>
      <c r="C105" s="143"/>
      <c r="D105" s="120"/>
      <c r="E105" s="130"/>
      <c r="F105" s="131"/>
      <c r="G105" s="119"/>
      <c r="H105" s="120"/>
      <c r="I105" s="120"/>
      <c r="J105" s="121"/>
      <c r="K105" s="122"/>
      <c r="L105" s="120"/>
      <c r="M105" s="120"/>
      <c r="N105" s="120"/>
      <c r="O105" s="123"/>
      <c r="P105" s="115"/>
      <c r="Q105" s="116"/>
      <c r="R105" s="117"/>
      <c r="S105" s="118"/>
      <c r="T105" s="120"/>
      <c r="U105" s="112"/>
      <c r="V105" s="112"/>
      <c r="W105" s="112"/>
      <c r="X105" s="120"/>
      <c r="Y105" s="162"/>
    </row>
    <row r="106" spans="1:25" x14ac:dyDescent="0.25">
      <c r="A106" s="125"/>
      <c r="B106" s="142"/>
      <c r="C106" s="143"/>
      <c r="D106" s="120"/>
      <c r="E106" s="130"/>
      <c r="F106" s="131"/>
      <c r="G106" s="119"/>
      <c r="H106" s="120"/>
      <c r="I106" s="120"/>
      <c r="J106" s="121"/>
      <c r="K106" s="122"/>
      <c r="L106" s="120"/>
      <c r="M106" s="120"/>
      <c r="N106" s="120"/>
      <c r="O106" s="123"/>
      <c r="P106" s="115"/>
      <c r="Q106" s="116"/>
      <c r="R106" s="117"/>
      <c r="S106" s="118"/>
      <c r="T106" s="120"/>
      <c r="U106" s="112"/>
      <c r="V106" s="112"/>
      <c r="W106" s="112"/>
      <c r="X106" s="120"/>
      <c r="Y106" s="162"/>
    </row>
    <row r="107" spans="1:25" x14ac:dyDescent="0.25">
      <c r="A107" s="125"/>
      <c r="B107" s="142"/>
      <c r="C107" s="143"/>
      <c r="D107" s="120"/>
      <c r="E107" s="130"/>
      <c r="F107" s="131"/>
      <c r="G107" s="119"/>
      <c r="H107" s="120"/>
      <c r="I107" s="120"/>
      <c r="J107" s="121"/>
      <c r="K107" s="122"/>
      <c r="L107" s="120"/>
      <c r="M107" s="120"/>
      <c r="N107" s="120"/>
      <c r="O107" s="123"/>
      <c r="P107" s="115"/>
      <c r="Q107" s="116"/>
      <c r="R107" s="117"/>
      <c r="S107" s="118"/>
      <c r="T107" s="120"/>
      <c r="U107" s="112"/>
      <c r="V107" s="112"/>
      <c r="W107" s="112"/>
      <c r="X107" s="120"/>
      <c r="Y107" s="162"/>
    </row>
    <row r="108" spans="1:25" x14ac:dyDescent="0.25">
      <c r="A108" s="125"/>
      <c r="B108" s="142"/>
      <c r="C108" s="143"/>
      <c r="D108" s="120"/>
      <c r="E108" s="130"/>
      <c r="F108" s="131"/>
      <c r="G108" s="119"/>
      <c r="H108" s="120"/>
      <c r="I108" s="120"/>
      <c r="J108" s="121"/>
      <c r="K108" s="122"/>
      <c r="L108" s="120"/>
      <c r="M108" s="120"/>
      <c r="N108" s="120"/>
      <c r="O108" s="123"/>
      <c r="P108" s="115"/>
      <c r="Q108" s="116"/>
      <c r="R108" s="117"/>
      <c r="S108" s="118"/>
      <c r="T108" s="120"/>
      <c r="U108" s="112"/>
      <c r="V108" s="112"/>
      <c r="W108" s="112"/>
      <c r="X108" s="120"/>
      <c r="Y108" s="162"/>
    </row>
    <row r="109" spans="1:25" x14ac:dyDescent="0.25">
      <c r="A109" s="125"/>
      <c r="B109" s="142"/>
      <c r="C109" s="143"/>
      <c r="D109" s="120"/>
      <c r="E109" s="130"/>
      <c r="F109" s="131"/>
      <c r="G109" s="119"/>
      <c r="H109" s="120"/>
      <c r="I109" s="120"/>
      <c r="J109" s="121"/>
      <c r="K109" s="122"/>
      <c r="L109" s="120"/>
      <c r="M109" s="120"/>
      <c r="N109" s="120"/>
      <c r="O109" s="123"/>
      <c r="P109" s="115"/>
      <c r="Q109" s="116"/>
      <c r="R109" s="117"/>
      <c r="S109" s="118"/>
      <c r="T109" s="120"/>
      <c r="U109" s="112"/>
      <c r="V109" s="112"/>
      <c r="W109" s="112"/>
      <c r="X109" s="120"/>
      <c r="Y109" s="162"/>
    </row>
    <row r="110" spans="1:25" x14ac:dyDescent="0.25">
      <c r="A110" s="125"/>
      <c r="B110" s="142"/>
      <c r="C110" s="143"/>
      <c r="D110" s="120"/>
      <c r="E110" s="130"/>
      <c r="F110" s="131"/>
      <c r="G110" s="119"/>
      <c r="H110" s="120"/>
      <c r="I110" s="120"/>
      <c r="J110" s="121"/>
      <c r="K110" s="122"/>
      <c r="L110" s="120"/>
      <c r="M110" s="120"/>
      <c r="N110" s="120"/>
      <c r="O110" s="123"/>
      <c r="P110" s="115"/>
      <c r="Q110" s="116"/>
      <c r="R110" s="117"/>
      <c r="S110" s="118"/>
      <c r="T110" s="120"/>
      <c r="U110" s="112"/>
      <c r="V110" s="112"/>
      <c r="W110" s="112"/>
      <c r="X110" s="120"/>
      <c r="Y110" s="162"/>
    </row>
    <row r="111" spans="1:25" x14ac:dyDescent="0.25">
      <c r="A111" s="125"/>
      <c r="B111" s="142"/>
      <c r="C111" s="143"/>
      <c r="D111" s="120"/>
      <c r="E111" s="130"/>
      <c r="F111" s="131"/>
      <c r="G111" s="119"/>
      <c r="H111" s="120"/>
      <c r="I111" s="120"/>
      <c r="J111" s="121"/>
      <c r="K111" s="122"/>
      <c r="L111" s="120"/>
      <c r="M111" s="120"/>
      <c r="N111" s="120"/>
      <c r="O111" s="123"/>
      <c r="P111" s="115"/>
      <c r="Q111" s="116"/>
      <c r="R111" s="117"/>
      <c r="S111" s="118"/>
      <c r="T111" s="120"/>
      <c r="U111" s="112"/>
      <c r="V111" s="112"/>
      <c r="W111" s="112"/>
      <c r="X111" s="120"/>
      <c r="Y111" s="162"/>
    </row>
    <row r="112" spans="1:25" x14ac:dyDescent="0.25">
      <c r="A112" s="125"/>
      <c r="B112" s="142"/>
      <c r="C112" s="143"/>
      <c r="D112" s="120"/>
      <c r="E112" s="130"/>
      <c r="F112" s="131"/>
      <c r="G112" s="119"/>
      <c r="H112" s="120"/>
      <c r="I112" s="120"/>
      <c r="J112" s="121"/>
      <c r="K112" s="122"/>
      <c r="L112" s="120"/>
      <c r="M112" s="120"/>
      <c r="N112" s="120"/>
      <c r="O112" s="123"/>
      <c r="P112" s="115"/>
      <c r="Q112" s="116"/>
      <c r="R112" s="117"/>
      <c r="S112" s="118"/>
      <c r="T112" s="120"/>
      <c r="U112" s="112"/>
      <c r="V112" s="112"/>
      <c r="W112" s="112"/>
      <c r="X112" s="120"/>
      <c r="Y112" s="162"/>
    </row>
    <row r="113" spans="1:25" x14ac:dyDescent="0.25">
      <c r="A113" s="125"/>
      <c r="B113" s="142"/>
      <c r="C113" s="143"/>
      <c r="D113" s="120"/>
      <c r="E113" s="130"/>
      <c r="F113" s="131"/>
      <c r="G113" s="119"/>
      <c r="H113" s="120"/>
      <c r="I113" s="120"/>
      <c r="J113" s="121"/>
      <c r="K113" s="122"/>
      <c r="L113" s="120"/>
      <c r="M113" s="120"/>
      <c r="N113" s="120"/>
      <c r="O113" s="123"/>
      <c r="P113" s="115"/>
      <c r="Q113" s="116"/>
      <c r="R113" s="117"/>
      <c r="S113" s="118"/>
      <c r="T113" s="120"/>
      <c r="U113" s="112"/>
      <c r="V113" s="112"/>
      <c r="W113" s="112"/>
      <c r="X113" s="120"/>
      <c r="Y113" s="162"/>
    </row>
    <row r="114" spans="1:25" x14ac:dyDescent="0.25">
      <c r="A114" s="125"/>
      <c r="B114" s="142"/>
      <c r="C114" s="143"/>
      <c r="D114" s="120"/>
      <c r="E114" s="130"/>
      <c r="F114" s="131"/>
      <c r="G114" s="119"/>
      <c r="H114" s="120"/>
      <c r="I114" s="120"/>
      <c r="J114" s="121"/>
      <c r="K114" s="122"/>
      <c r="L114" s="120"/>
      <c r="M114" s="120"/>
      <c r="N114" s="120"/>
      <c r="O114" s="123"/>
      <c r="P114" s="115"/>
      <c r="Q114" s="116"/>
      <c r="R114" s="117"/>
      <c r="S114" s="118"/>
      <c r="T114" s="120"/>
      <c r="U114" s="112"/>
      <c r="V114" s="112"/>
      <c r="W114" s="112"/>
      <c r="X114" s="120"/>
      <c r="Y114" s="162"/>
    </row>
    <row r="115" spans="1:25" x14ac:dyDescent="0.25">
      <c r="A115" s="125"/>
      <c r="B115" s="142"/>
      <c r="C115" s="143"/>
      <c r="D115" s="120"/>
      <c r="E115" s="130"/>
      <c r="F115" s="131"/>
      <c r="G115" s="119"/>
      <c r="H115" s="120"/>
      <c r="I115" s="120"/>
      <c r="J115" s="121"/>
      <c r="K115" s="122"/>
      <c r="L115" s="120"/>
      <c r="M115" s="120"/>
      <c r="N115" s="120"/>
      <c r="O115" s="123"/>
      <c r="P115" s="115"/>
      <c r="Q115" s="116"/>
      <c r="R115" s="117"/>
      <c r="S115" s="118"/>
      <c r="T115" s="120"/>
      <c r="U115" s="112"/>
      <c r="V115" s="112"/>
      <c r="W115" s="112"/>
      <c r="X115" s="120"/>
      <c r="Y115" s="162"/>
    </row>
    <row r="116" spans="1:25" x14ac:dyDescent="0.25">
      <c r="A116" s="125"/>
      <c r="B116" s="142"/>
      <c r="C116" s="143"/>
      <c r="D116" s="120"/>
      <c r="E116" s="130"/>
      <c r="F116" s="131"/>
      <c r="G116" s="119"/>
      <c r="H116" s="120"/>
      <c r="I116" s="120"/>
      <c r="J116" s="121"/>
      <c r="K116" s="122"/>
      <c r="L116" s="120"/>
      <c r="M116" s="120"/>
      <c r="N116" s="120"/>
      <c r="O116" s="123"/>
      <c r="P116" s="115"/>
      <c r="Q116" s="116"/>
      <c r="R116" s="117"/>
      <c r="S116" s="118"/>
      <c r="T116" s="120"/>
      <c r="U116" s="112"/>
      <c r="V116" s="112"/>
      <c r="W116" s="112"/>
      <c r="X116" s="120"/>
      <c r="Y116" s="162"/>
    </row>
    <row r="117" spans="1:25" x14ac:dyDescent="0.25">
      <c r="A117" s="125"/>
      <c r="B117" s="142"/>
      <c r="C117" s="143"/>
      <c r="D117" s="120"/>
      <c r="E117" s="130"/>
      <c r="F117" s="131"/>
      <c r="G117" s="119"/>
      <c r="H117" s="120"/>
      <c r="I117" s="120"/>
      <c r="J117" s="121"/>
      <c r="K117" s="122"/>
      <c r="L117" s="120"/>
      <c r="M117" s="120"/>
      <c r="N117" s="120"/>
      <c r="O117" s="123"/>
      <c r="P117" s="115"/>
      <c r="Q117" s="116"/>
      <c r="R117" s="117"/>
      <c r="S117" s="118"/>
      <c r="T117" s="120"/>
      <c r="U117" s="112"/>
      <c r="V117" s="112"/>
      <c r="W117" s="112"/>
      <c r="X117" s="120"/>
      <c r="Y117" s="162"/>
    </row>
    <row r="118" spans="1:25" x14ac:dyDescent="0.25">
      <c r="A118" s="138"/>
      <c r="B118" s="138"/>
      <c r="C118" s="138"/>
      <c r="D118" s="120"/>
      <c r="E118" s="130"/>
      <c r="F118" s="131"/>
      <c r="G118" s="119"/>
      <c r="H118" s="120"/>
      <c r="I118" s="120"/>
      <c r="J118" s="121"/>
      <c r="K118" s="122"/>
      <c r="L118" s="120"/>
      <c r="M118" s="120"/>
      <c r="N118" s="120"/>
      <c r="O118" s="123"/>
      <c r="P118" s="115"/>
      <c r="Q118" s="116"/>
      <c r="R118" s="117"/>
      <c r="S118" s="118"/>
      <c r="T118" s="120"/>
      <c r="U118" s="112"/>
      <c r="V118" s="112"/>
      <c r="W118" s="112"/>
      <c r="X118" s="120"/>
      <c r="Y118" s="162"/>
    </row>
    <row r="119" spans="1:25" x14ac:dyDescent="0.25">
      <c r="A119" s="125"/>
      <c r="B119" s="142"/>
      <c r="C119" s="143"/>
      <c r="D119" s="120"/>
      <c r="E119" s="130"/>
      <c r="F119" s="131"/>
      <c r="G119" s="119"/>
      <c r="H119" s="120"/>
      <c r="I119" s="120"/>
      <c r="J119" s="121"/>
      <c r="K119" s="122"/>
      <c r="L119" s="120"/>
      <c r="M119" s="120"/>
      <c r="N119" s="120"/>
      <c r="O119" s="123"/>
      <c r="P119" s="115"/>
      <c r="Q119" s="116"/>
      <c r="R119" s="117"/>
      <c r="S119" s="118"/>
      <c r="T119" s="120"/>
      <c r="U119" s="112"/>
      <c r="V119" s="112"/>
      <c r="W119" s="112"/>
      <c r="X119" s="120"/>
      <c r="Y119" s="162"/>
    </row>
    <row r="120" spans="1:25" x14ac:dyDescent="0.25">
      <c r="A120" s="125"/>
      <c r="B120" s="142"/>
      <c r="C120" s="143"/>
      <c r="D120" s="120"/>
      <c r="E120" s="130"/>
      <c r="F120" s="131"/>
      <c r="G120" s="119"/>
      <c r="H120" s="120"/>
      <c r="I120" s="120"/>
      <c r="J120" s="121"/>
      <c r="K120" s="122"/>
      <c r="L120" s="120"/>
      <c r="M120" s="120"/>
      <c r="N120" s="120"/>
      <c r="O120" s="123"/>
      <c r="P120" s="115"/>
      <c r="Q120" s="116"/>
      <c r="R120" s="117"/>
      <c r="S120" s="118"/>
      <c r="T120" s="120"/>
      <c r="U120" s="112"/>
      <c r="V120" s="112"/>
      <c r="W120" s="112"/>
      <c r="X120" s="120"/>
      <c r="Y120" s="162"/>
    </row>
    <row r="121" spans="1:25" x14ac:dyDescent="0.25">
      <c r="A121" s="125"/>
      <c r="B121" s="142"/>
      <c r="C121" s="143"/>
      <c r="D121" s="120"/>
      <c r="E121" s="130"/>
      <c r="F121" s="131"/>
      <c r="G121" s="119"/>
      <c r="H121" s="120"/>
      <c r="I121" s="120"/>
      <c r="J121" s="121"/>
      <c r="K121" s="122"/>
      <c r="L121" s="120"/>
      <c r="M121" s="120"/>
      <c r="N121" s="120"/>
      <c r="O121" s="123"/>
      <c r="P121" s="115"/>
      <c r="Q121" s="116"/>
      <c r="R121" s="117"/>
      <c r="S121" s="118"/>
      <c r="T121" s="120"/>
      <c r="U121" s="112"/>
      <c r="V121" s="112"/>
      <c r="W121" s="112"/>
      <c r="X121" s="120"/>
      <c r="Y121" s="162"/>
    </row>
    <row r="122" spans="1:25" x14ac:dyDescent="0.25">
      <c r="A122" s="125"/>
      <c r="B122" s="142"/>
      <c r="C122" s="143"/>
      <c r="D122" s="120"/>
      <c r="E122" s="130"/>
      <c r="F122" s="131"/>
      <c r="G122" s="119"/>
      <c r="H122" s="120"/>
      <c r="I122" s="120"/>
      <c r="J122" s="121"/>
      <c r="K122" s="122"/>
      <c r="L122" s="120"/>
      <c r="M122" s="120"/>
      <c r="N122" s="120"/>
      <c r="O122" s="123"/>
      <c r="P122" s="115"/>
      <c r="Q122" s="116"/>
      <c r="R122" s="117"/>
      <c r="S122" s="118"/>
      <c r="T122" s="120"/>
      <c r="U122" s="112"/>
      <c r="V122" s="112"/>
      <c r="W122" s="112"/>
      <c r="X122" s="120"/>
      <c r="Y122" s="162"/>
    </row>
    <row r="123" spans="1:25" x14ac:dyDescent="0.25">
      <c r="A123" s="125"/>
      <c r="B123" s="142"/>
      <c r="C123" s="143"/>
      <c r="D123" s="120"/>
      <c r="E123" s="130"/>
      <c r="F123" s="131"/>
      <c r="G123" s="119"/>
      <c r="H123" s="120"/>
      <c r="I123" s="120"/>
      <c r="J123" s="121"/>
      <c r="K123" s="122"/>
      <c r="L123" s="120"/>
      <c r="M123" s="120"/>
      <c r="N123" s="120"/>
      <c r="O123" s="123"/>
      <c r="P123" s="115"/>
      <c r="Q123" s="116"/>
      <c r="R123" s="117"/>
      <c r="S123" s="118"/>
      <c r="T123" s="120"/>
      <c r="U123" s="112"/>
      <c r="V123" s="112"/>
      <c r="W123" s="112"/>
      <c r="X123" s="120"/>
      <c r="Y123" s="162"/>
    </row>
    <row r="124" spans="1:25" x14ac:dyDescent="0.25">
      <c r="A124" s="125"/>
      <c r="B124" s="142"/>
      <c r="C124" s="143"/>
      <c r="D124" s="120"/>
      <c r="E124" s="130"/>
      <c r="F124" s="131"/>
      <c r="G124" s="119"/>
      <c r="H124" s="120"/>
      <c r="I124" s="120"/>
      <c r="J124" s="121"/>
      <c r="K124" s="122"/>
      <c r="L124" s="120"/>
      <c r="M124" s="120"/>
      <c r="N124" s="120"/>
      <c r="O124" s="123"/>
      <c r="P124" s="115"/>
      <c r="Q124" s="116"/>
      <c r="R124" s="117"/>
      <c r="S124" s="118"/>
      <c r="T124" s="120"/>
      <c r="U124" s="112"/>
      <c r="V124" s="112"/>
      <c r="W124" s="112"/>
      <c r="X124" s="120"/>
      <c r="Y124" s="162"/>
    </row>
    <row r="125" spans="1:25" x14ac:dyDescent="0.25">
      <c r="A125" s="125"/>
      <c r="B125" s="142"/>
      <c r="C125" s="143"/>
      <c r="D125" s="120"/>
      <c r="E125" s="130"/>
      <c r="F125" s="131"/>
      <c r="G125" s="119"/>
      <c r="H125" s="120"/>
      <c r="I125" s="120"/>
      <c r="J125" s="121"/>
      <c r="K125" s="122"/>
      <c r="L125" s="120"/>
      <c r="M125" s="120"/>
      <c r="N125" s="120"/>
      <c r="O125" s="123"/>
      <c r="P125" s="115"/>
      <c r="Q125" s="116"/>
      <c r="R125" s="117"/>
      <c r="S125" s="118"/>
      <c r="T125" s="120"/>
      <c r="U125" s="112"/>
      <c r="V125" s="112"/>
      <c r="W125" s="112"/>
      <c r="X125" s="120"/>
      <c r="Y125" s="162"/>
    </row>
    <row r="126" spans="1:25" x14ac:dyDescent="0.25">
      <c r="A126" s="138"/>
      <c r="B126" s="138"/>
      <c r="C126" s="138"/>
      <c r="D126" s="120"/>
      <c r="E126" s="130"/>
      <c r="F126" s="131"/>
      <c r="G126" s="119"/>
      <c r="H126" s="120"/>
      <c r="I126" s="120"/>
      <c r="J126" s="121"/>
      <c r="K126" s="122"/>
      <c r="L126" s="120"/>
      <c r="M126" s="120"/>
      <c r="N126" s="120"/>
      <c r="O126" s="123"/>
      <c r="P126" s="115"/>
      <c r="Q126" s="116"/>
      <c r="R126" s="117"/>
      <c r="S126" s="118"/>
      <c r="T126" s="120"/>
      <c r="U126" s="112"/>
      <c r="V126" s="112"/>
      <c r="W126" s="112"/>
      <c r="X126" s="120"/>
      <c r="Y126" s="162"/>
    </row>
    <row r="127" spans="1:25" x14ac:dyDescent="0.25">
      <c r="A127" s="125"/>
      <c r="B127" s="142"/>
      <c r="C127" s="143"/>
      <c r="D127" s="120"/>
      <c r="E127" s="130"/>
      <c r="F127" s="131"/>
      <c r="G127" s="119"/>
      <c r="H127" s="120"/>
      <c r="I127" s="120"/>
      <c r="J127" s="121"/>
      <c r="K127" s="122"/>
      <c r="L127" s="120"/>
      <c r="M127" s="120"/>
      <c r="N127" s="120"/>
      <c r="O127" s="123"/>
      <c r="P127" s="115"/>
      <c r="Q127" s="116"/>
      <c r="R127" s="117"/>
      <c r="S127" s="118"/>
      <c r="T127" s="120"/>
      <c r="U127" s="112"/>
      <c r="V127" s="112"/>
      <c r="W127" s="112"/>
      <c r="X127" s="120"/>
      <c r="Y127" s="162"/>
    </row>
    <row r="128" spans="1:25" x14ac:dyDescent="0.25">
      <c r="A128" s="138"/>
      <c r="B128" s="138"/>
      <c r="C128" s="138"/>
      <c r="D128" s="120"/>
      <c r="E128" s="130"/>
      <c r="F128" s="131"/>
      <c r="G128" s="119"/>
      <c r="H128" s="120"/>
      <c r="I128" s="120"/>
      <c r="J128" s="121"/>
      <c r="K128" s="122"/>
      <c r="L128" s="120"/>
      <c r="M128" s="120"/>
      <c r="N128" s="120"/>
      <c r="O128" s="123"/>
      <c r="P128" s="115"/>
      <c r="Q128" s="116"/>
      <c r="R128" s="117"/>
      <c r="S128" s="118"/>
      <c r="T128" s="120"/>
      <c r="U128" s="112"/>
      <c r="V128" s="112"/>
      <c r="W128" s="112"/>
      <c r="X128" s="120"/>
      <c r="Y128" s="162"/>
    </row>
    <row r="129" spans="1:25" x14ac:dyDescent="0.25">
      <c r="A129" s="125"/>
      <c r="B129" s="142"/>
      <c r="C129" s="143"/>
      <c r="D129" s="120"/>
      <c r="E129" s="130"/>
      <c r="F129" s="131"/>
      <c r="G129" s="119"/>
      <c r="H129" s="120"/>
      <c r="I129" s="120"/>
      <c r="J129" s="121"/>
      <c r="K129" s="122"/>
      <c r="L129" s="120"/>
      <c r="M129" s="120"/>
      <c r="N129" s="120"/>
      <c r="O129" s="123"/>
      <c r="P129" s="115"/>
      <c r="Q129" s="116"/>
      <c r="R129" s="117"/>
      <c r="S129" s="118"/>
      <c r="T129" s="120"/>
      <c r="U129" s="112"/>
      <c r="V129" s="112"/>
      <c r="W129" s="112"/>
      <c r="X129" s="120"/>
      <c r="Y129" s="162"/>
    </row>
    <row r="130" spans="1:25" x14ac:dyDescent="0.25">
      <c r="A130" s="138"/>
      <c r="B130" s="138"/>
      <c r="C130" s="138"/>
      <c r="D130" s="120"/>
      <c r="E130" s="130"/>
      <c r="F130" s="131"/>
      <c r="G130" s="119"/>
      <c r="H130" s="120"/>
      <c r="I130" s="120"/>
      <c r="J130" s="121"/>
      <c r="K130" s="122"/>
      <c r="L130" s="120"/>
      <c r="M130" s="120"/>
      <c r="N130" s="120"/>
      <c r="O130" s="123"/>
      <c r="P130" s="115"/>
      <c r="Q130" s="116"/>
      <c r="R130" s="117"/>
      <c r="S130" s="118"/>
      <c r="T130" s="120"/>
      <c r="U130" s="112"/>
      <c r="V130" s="112"/>
      <c r="W130" s="112"/>
      <c r="X130" s="120"/>
      <c r="Y130" s="162"/>
    </row>
    <row r="131" spans="1:25" x14ac:dyDescent="0.25">
      <c r="A131" s="125"/>
      <c r="B131" s="142"/>
      <c r="C131" s="143"/>
      <c r="D131" s="120"/>
      <c r="E131" s="130"/>
      <c r="F131" s="131"/>
      <c r="G131" s="119"/>
      <c r="H131" s="120"/>
      <c r="I131" s="120"/>
      <c r="J131" s="121"/>
      <c r="K131" s="122"/>
      <c r="L131" s="120"/>
      <c r="M131" s="120"/>
      <c r="N131" s="120"/>
      <c r="O131" s="123"/>
      <c r="P131" s="115"/>
      <c r="Q131" s="116"/>
      <c r="R131" s="117"/>
      <c r="S131" s="118"/>
      <c r="T131" s="120"/>
      <c r="U131" s="112"/>
      <c r="V131" s="112"/>
      <c r="W131" s="112"/>
      <c r="X131" s="120"/>
      <c r="Y131" s="162"/>
    </row>
    <row r="132" spans="1:25" x14ac:dyDescent="0.25">
      <c r="A132" s="138"/>
      <c r="B132" s="138"/>
      <c r="C132" s="138"/>
      <c r="D132" s="120"/>
      <c r="E132" s="130"/>
      <c r="F132" s="131"/>
      <c r="G132" s="119"/>
      <c r="H132" s="120"/>
      <c r="I132" s="120"/>
      <c r="J132" s="121"/>
      <c r="K132" s="122"/>
      <c r="L132" s="120"/>
      <c r="M132" s="120"/>
      <c r="N132" s="120"/>
      <c r="O132" s="123"/>
      <c r="P132" s="115"/>
      <c r="Q132" s="116"/>
      <c r="R132" s="117"/>
      <c r="S132" s="118"/>
      <c r="T132" s="120"/>
      <c r="U132" s="112"/>
      <c r="V132" s="112"/>
      <c r="W132" s="112"/>
      <c r="X132" s="120"/>
      <c r="Y132" s="162"/>
    </row>
    <row r="133" spans="1:25" x14ac:dyDescent="0.25">
      <c r="A133" s="125"/>
      <c r="B133" s="142"/>
      <c r="C133" s="143"/>
      <c r="D133" s="120"/>
      <c r="E133" s="130"/>
      <c r="F133" s="131"/>
      <c r="G133" s="119"/>
      <c r="H133" s="120"/>
      <c r="I133" s="120"/>
      <c r="J133" s="121"/>
      <c r="K133" s="122"/>
      <c r="L133" s="120"/>
      <c r="M133" s="120"/>
      <c r="N133" s="120"/>
      <c r="O133" s="123"/>
      <c r="P133" s="115"/>
      <c r="Q133" s="116"/>
      <c r="R133" s="117"/>
      <c r="S133" s="118"/>
      <c r="T133" s="120"/>
      <c r="U133" s="112"/>
      <c r="V133" s="112"/>
      <c r="W133" s="112"/>
      <c r="X133" s="120"/>
      <c r="Y133" s="162"/>
    </row>
    <row r="134" spans="1:25" x14ac:dyDescent="0.25">
      <c r="A134" s="125"/>
      <c r="B134" s="142"/>
      <c r="C134" s="143"/>
      <c r="D134" s="120"/>
      <c r="E134" s="130"/>
      <c r="F134" s="131"/>
      <c r="G134" s="119"/>
      <c r="H134" s="120"/>
      <c r="I134" s="120"/>
      <c r="J134" s="121"/>
      <c r="K134" s="122"/>
      <c r="L134" s="120"/>
      <c r="M134" s="120"/>
      <c r="N134" s="120"/>
      <c r="O134" s="123"/>
      <c r="P134" s="115"/>
      <c r="Q134" s="116"/>
      <c r="R134" s="117"/>
      <c r="S134" s="118"/>
      <c r="T134" s="120"/>
      <c r="U134" s="112"/>
      <c r="V134" s="112"/>
      <c r="W134" s="112"/>
      <c r="X134" s="120"/>
      <c r="Y134" s="162"/>
    </row>
    <row r="135" spans="1:25" x14ac:dyDescent="0.25">
      <c r="A135" s="125"/>
      <c r="B135" s="142"/>
      <c r="C135" s="143"/>
      <c r="D135" s="120"/>
      <c r="E135" s="130"/>
      <c r="F135" s="131"/>
      <c r="G135" s="119"/>
      <c r="H135" s="120"/>
      <c r="I135" s="120"/>
      <c r="J135" s="121"/>
      <c r="K135" s="122"/>
      <c r="L135" s="120"/>
      <c r="M135" s="120"/>
      <c r="N135" s="120"/>
      <c r="O135" s="123"/>
      <c r="P135" s="115"/>
      <c r="Q135" s="116"/>
      <c r="R135" s="117"/>
      <c r="S135" s="118"/>
      <c r="T135" s="120"/>
      <c r="U135" s="112"/>
      <c r="V135" s="112"/>
      <c r="W135" s="112"/>
      <c r="X135" s="120"/>
      <c r="Y135" s="162"/>
    </row>
    <row r="136" spans="1:25" x14ac:dyDescent="0.25">
      <c r="A136" s="138"/>
      <c r="B136" s="138"/>
      <c r="C136" s="138"/>
      <c r="D136" s="120"/>
      <c r="E136" s="130"/>
      <c r="F136" s="131"/>
      <c r="G136" s="119"/>
      <c r="H136" s="120"/>
      <c r="I136" s="120"/>
      <c r="J136" s="121"/>
      <c r="K136" s="122"/>
      <c r="L136" s="120"/>
      <c r="M136" s="120"/>
      <c r="N136" s="120"/>
      <c r="O136" s="123"/>
      <c r="P136" s="115"/>
      <c r="Q136" s="116"/>
      <c r="R136" s="117"/>
      <c r="S136" s="118"/>
      <c r="T136" s="120"/>
      <c r="U136" s="112"/>
      <c r="V136" s="112"/>
      <c r="W136" s="112"/>
      <c r="X136" s="120"/>
      <c r="Y136" s="162"/>
    </row>
    <row r="137" spans="1:25" x14ac:dyDescent="0.25">
      <c r="A137" s="125"/>
      <c r="B137" s="142"/>
      <c r="C137" s="143"/>
      <c r="D137" s="120"/>
      <c r="E137" s="130"/>
      <c r="F137" s="131"/>
      <c r="G137" s="119"/>
      <c r="H137" s="120"/>
      <c r="I137" s="120"/>
      <c r="J137" s="121"/>
      <c r="K137" s="122"/>
      <c r="L137" s="120"/>
      <c r="M137" s="120"/>
      <c r="N137" s="120"/>
      <c r="O137" s="123"/>
      <c r="P137" s="115"/>
      <c r="Q137" s="116"/>
      <c r="R137" s="117"/>
      <c r="S137" s="118"/>
      <c r="T137" s="120"/>
      <c r="U137" s="112"/>
      <c r="V137" s="112"/>
      <c r="W137" s="112"/>
      <c r="X137" s="120"/>
      <c r="Y137" s="162"/>
    </row>
    <row r="138" spans="1:25" x14ac:dyDescent="0.25">
      <c r="A138" s="138"/>
      <c r="B138" s="138"/>
      <c r="C138" s="138"/>
      <c r="D138" s="120"/>
      <c r="E138" s="130"/>
      <c r="F138" s="131"/>
      <c r="G138" s="119"/>
      <c r="H138" s="120"/>
      <c r="I138" s="120"/>
      <c r="J138" s="121"/>
      <c r="K138" s="122"/>
      <c r="L138" s="120"/>
      <c r="M138" s="120"/>
      <c r="N138" s="120"/>
      <c r="O138" s="123"/>
      <c r="P138" s="115"/>
      <c r="Q138" s="116"/>
      <c r="R138" s="117"/>
      <c r="S138" s="118"/>
      <c r="T138" s="120"/>
      <c r="U138" s="112"/>
      <c r="V138" s="112"/>
      <c r="W138" s="112"/>
      <c r="X138" s="120"/>
      <c r="Y138" s="162"/>
    </row>
    <row r="139" spans="1:25" x14ac:dyDescent="0.25">
      <c r="A139" s="138"/>
      <c r="B139" s="138"/>
      <c r="C139" s="138"/>
      <c r="D139" s="120"/>
      <c r="E139" s="130"/>
      <c r="F139" s="131"/>
      <c r="G139" s="119"/>
      <c r="H139" s="120"/>
      <c r="I139" s="120"/>
      <c r="J139" s="121"/>
      <c r="K139" s="122"/>
      <c r="L139" s="120"/>
      <c r="M139" s="120"/>
      <c r="N139" s="120"/>
      <c r="O139" s="123"/>
      <c r="P139" s="115"/>
      <c r="Q139" s="116"/>
      <c r="R139" s="117"/>
      <c r="S139" s="118"/>
      <c r="T139" s="120"/>
      <c r="U139" s="112"/>
      <c r="V139" s="112"/>
      <c r="W139" s="112"/>
      <c r="X139" s="120"/>
      <c r="Y139" s="162"/>
    </row>
    <row r="140" spans="1:25" x14ac:dyDescent="0.25">
      <c r="A140" s="125"/>
      <c r="B140" s="142"/>
      <c r="C140" s="143"/>
      <c r="D140" s="120"/>
      <c r="E140" s="130"/>
      <c r="F140" s="131"/>
      <c r="G140" s="119"/>
      <c r="H140" s="120"/>
      <c r="I140" s="120"/>
      <c r="J140" s="121"/>
      <c r="K140" s="122"/>
      <c r="L140" s="120"/>
      <c r="M140" s="120"/>
      <c r="N140" s="120"/>
      <c r="O140" s="123"/>
      <c r="P140" s="115"/>
      <c r="Q140" s="116"/>
      <c r="R140" s="117"/>
      <c r="S140" s="118"/>
      <c r="T140" s="120"/>
      <c r="U140" s="112"/>
      <c r="V140" s="112"/>
      <c r="W140" s="112"/>
      <c r="X140" s="120"/>
      <c r="Y140" s="162"/>
    </row>
    <row r="141" spans="1:25" x14ac:dyDescent="0.25">
      <c r="A141" s="138"/>
      <c r="B141" s="138"/>
      <c r="C141" s="138"/>
      <c r="D141" s="120"/>
      <c r="E141" s="130"/>
      <c r="F141" s="131"/>
      <c r="G141" s="119"/>
      <c r="H141" s="120"/>
      <c r="I141" s="120"/>
      <c r="J141" s="121"/>
      <c r="K141" s="122"/>
      <c r="L141" s="120"/>
      <c r="M141" s="120"/>
      <c r="N141" s="120"/>
      <c r="O141" s="123"/>
      <c r="P141" s="115"/>
      <c r="Q141" s="116"/>
      <c r="R141" s="117"/>
      <c r="S141" s="118"/>
      <c r="T141" s="120"/>
      <c r="U141" s="112"/>
      <c r="V141" s="112"/>
      <c r="W141" s="112"/>
      <c r="X141" s="120"/>
      <c r="Y141" s="162"/>
    </row>
    <row r="142" spans="1:25" x14ac:dyDescent="0.25">
      <c r="A142" s="138"/>
      <c r="B142" s="138"/>
      <c r="C142" s="138"/>
      <c r="D142" s="120"/>
      <c r="E142" s="130"/>
      <c r="F142" s="131"/>
      <c r="G142" s="119"/>
      <c r="H142" s="120"/>
      <c r="I142" s="120"/>
      <c r="J142" s="121"/>
      <c r="K142" s="122"/>
      <c r="L142" s="120"/>
      <c r="M142" s="120"/>
      <c r="N142" s="120"/>
      <c r="O142" s="123"/>
      <c r="P142" s="115"/>
      <c r="Q142" s="116"/>
      <c r="R142" s="117"/>
      <c r="S142" s="118"/>
      <c r="T142" s="120"/>
      <c r="U142" s="112"/>
      <c r="V142" s="112"/>
      <c r="W142" s="112"/>
      <c r="X142" s="120"/>
      <c r="Y142" s="162"/>
    </row>
    <row r="143" spans="1:25" x14ac:dyDescent="0.25">
      <c r="A143" s="125"/>
      <c r="B143" s="142"/>
      <c r="C143" s="143"/>
      <c r="D143" s="120"/>
      <c r="E143" s="130"/>
      <c r="F143" s="131"/>
      <c r="G143" s="119"/>
      <c r="H143" s="120"/>
      <c r="I143" s="120"/>
      <c r="J143" s="121"/>
      <c r="K143" s="122"/>
      <c r="L143" s="120"/>
      <c r="M143" s="120"/>
      <c r="N143" s="120"/>
      <c r="O143" s="123"/>
      <c r="P143" s="115"/>
      <c r="Q143" s="116"/>
      <c r="R143" s="117"/>
      <c r="S143" s="118"/>
      <c r="T143" s="120"/>
      <c r="U143" s="112"/>
      <c r="V143" s="112"/>
      <c r="W143" s="112"/>
      <c r="X143" s="120"/>
      <c r="Y143" s="162"/>
    </row>
    <row r="144" spans="1:25" x14ac:dyDescent="0.25">
      <c r="A144" s="125"/>
      <c r="B144" s="142"/>
      <c r="C144" s="143"/>
      <c r="D144" s="120"/>
      <c r="E144" s="130"/>
      <c r="F144" s="131"/>
      <c r="G144" s="119"/>
      <c r="H144" s="120"/>
      <c r="I144" s="120"/>
      <c r="J144" s="121"/>
      <c r="K144" s="122"/>
      <c r="L144" s="120"/>
      <c r="M144" s="120"/>
      <c r="N144" s="120"/>
      <c r="O144" s="123"/>
      <c r="P144" s="115"/>
      <c r="Q144" s="116"/>
      <c r="R144" s="117"/>
      <c r="S144" s="118"/>
      <c r="T144" s="120"/>
      <c r="U144" s="112"/>
      <c r="V144" s="112"/>
      <c r="W144" s="112"/>
      <c r="X144" s="120"/>
      <c r="Y144" s="162"/>
    </row>
    <row r="145" spans="1:25" x14ac:dyDescent="0.25">
      <c r="A145" s="125"/>
      <c r="B145" s="142"/>
      <c r="C145" s="143"/>
      <c r="D145" s="120"/>
      <c r="E145" s="130"/>
      <c r="F145" s="131"/>
      <c r="G145" s="119"/>
      <c r="H145" s="120"/>
      <c r="I145" s="120"/>
      <c r="J145" s="121"/>
      <c r="K145" s="122"/>
      <c r="L145" s="120"/>
      <c r="M145" s="120"/>
      <c r="N145" s="120"/>
      <c r="O145" s="123"/>
      <c r="P145" s="115"/>
      <c r="Q145" s="116"/>
      <c r="R145" s="117"/>
      <c r="S145" s="118"/>
      <c r="T145" s="120"/>
      <c r="U145" s="112"/>
      <c r="V145" s="112"/>
      <c r="W145" s="112"/>
      <c r="X145" s="120"/>
      <c r="Y145" s="162"/>
    </row>
    <row r="146" spans="1:25" x14ac:dyDescent="0.25">
      <c r="A146" s="125"/>
      <c r="B146" s="142"/>
      <c r="C146" s="143"/>
      <c r="D146" s="120"/>
      <c r="E146" s="130"/>
      <c r="F146" s="131"/>
      <c r="G146" s="119"/>
      <c r="H146" s="120"/>
      <c r="I146" s="120"/>
      <c r="J146" s="121"/>
      <c r="K146" s="122"/>
      <c r="L146" s="120"/>
      <c r="M146" s="120"/>
      <c r="N146" s="120"/>
      <c r="O146" s="123"/>
      <c r="P146" s="115"/>
      <c r="Q146" s="116"/>
      <c r="R146" s="117"/>
      <c r="S146" s="118"/>
      <c r="T146" s="120"/>
      <c r="U146" s="112"/>
      <c r="V146" s="112"/>
      <c r="W146" s="112"/>
      <c r="X146" s="120"/>
      <c r="Y146" s="162"/>
    </row>
    <row r="147" spans="1:25" x14ac:dyDescent="0.25">
      <c r="A147" s="125"/>
      <c r="B147" s="142"/>
      <c r="C147" s="143"/>
      <c r="D147" s="120"/>
      <c r="E147" s="130"/>
      <c r="F147" s="131"/>
      <c r="G147" s="119"/>
      <c r="H147" s="120"/>
      <c r="I147" s="120"/>
      <c r="J147" s="121"/>
      <c r="K147" s="122"/>
      <c r="L147" s="120"/>
      <c r="M147" s="120"/>
      <c r="N147" s="120"/>
      <c r="O147" s="123"/>
      <c r="P147" s="115"/>
      <c r="Q147" s="116"/>
      <c r="R147" s="117"/>
      <c r="S147" s="118"/>
      <c r="T147" s="120"/>
      <c r="U147" s="112"/>
      <c r="V147" s="112"/>
      <c r="W147" s="112"/>
      <c r="X147" s="120"/>
      <c r="Y147" s="162"/>
    </row>
    <row r="148" spans="1:25" x14ac:dyDescent="0.25">
      <c r="A148" s="125"/>
      <c r="B148" s="142"/>
      <c r="C148" s="143"/>
      <c r="D148" s="120"/>
      <c r="E148" s="130"/>
      <c r="F148" s="131"/>
      <c r="G148" s="119"/>
      <c r="H148" s="120"/>
      <c r="I148" s="120"/>
      <c r="J148" s="121"/>
      <c r="K148" s="122"/>
      <c r="L148" s="120"/>
      <c r="M148" s="120"/>
      <c r="N148" s="120"/>
      <c r="O148" s="123"/>
      <c r="P148" s="115"/>
      <c r="Q148" s="116"/>
      <c r="R148" s="117"/>
      <c r="S148" s="118"/>
      <c r="T148" s="120"/>
      <c r="U148" s="112"/>
      <c r="V148" s="112"/>
      <c r="W148" s="112"/>
      <c r="X148" s="120"/>
      <c r="Y148" s="162"/>
    </row>
    <row r="149" spans="1:25" x14ac:dyDescent="0.25">
      <c r="A149" s="125"/>
      <c r="B149" s="142"/>
      <c r="C149" s="143"/>
      <c r="D149" s="120"/>
      <c r="E149" s="130"/>
      <c r="F149" s="131"/>
      <c r="G149" s="119"/>
      <c r="H149" s="120"/>
      <c r="I149" s="120"/>
      <c r="J149" s="121"/>
      <c r="K149" s="122"/>
      <c r="L149" s="120"/>
      <c r="M149" s="120"/>
      <c r="N149" s="120"/>
      <c r="O149" s="123"/>
      <c r="P149" s="115"/>
      <c r="Q149" s="116"/>
      <c r="R149" s="117"/>
      <c r="S149" s="118"/>
      <c r="T149" s="120"/>
      <c r="U149" s="112"/>
      <c r="V149" s="112"/>
      <c r="W149" s="112"/>
      <c r="X149" s="120"/>
      <c r="Y149" s="162"/>
    </row>
    <row r="150" spans="1:25" x14ac:dyDescent="0.25">
      <c r="A150" s="125"/>
      <c r="B150" s="142"/>
      <c r="C150" s="143"/>
      <c r="D150" s="120"/>
      <c r="E150" s="130"/>
      <c r="F150" s="131"/>
      <c r="G150" s="119"/>
      <c r="H150" s="120"/>
      <c r="I150" s="120"/>
      <c r="J150" s="121"/>
      <c r="K150" s="122"/>
      <c r="L150" s="120"/>
      <c r="M150" s="120"/>
      <c r="N150" s="120"/>
      <c r="O150" s="123"/>
      <c r="P150" s="115"/>
      <c r="Q150" s="116"/>
      <c r="R150" s="117"/>
      <c r="S150" s="118"/>
      <c r="T150" s="120"/>
      <c r="U150" s="112"/>
      <c r="V150" s="112"/>
      <c r="W150" s="112"/>
      <c r="X150" s="120"/>
      <c r="Y150" s="162"/>
    </row>
    <row r="151" spans="1:25" x14ac:dyDescent="0.25">
      <c r="A151" s="125"/>
      <c r="B151" s="142"/>
      <c r="C151" s="143"/>
      <c r="D151" s="120"/>
      <c r="E151" s="130"/>
      <c r="F151" s="131"/>
      <c r="G151" s="119"/>
      <c r="H151" s="120"/>
      <c r="I151" s="120"/>
      <c r="J151" s="121"/>
      <c r="K151" s="122"/>
      <c r="L151" s="120"/>
      <c r="M151" s="120"/>
      <c r="N151" s="120"/>
      <c r="O151" s="123"/>
      <c r="P151" s="115"/>
      <c r="Q151" s="116"/>
      <c r="R151" s="117"/>
      <c r="S151" s="118"/>
      <c r="T151" s="120"/>
      <c r="U151" s="112"/>
      <c r="V151" s="112"/>
      <c r="W151" s="112"/>
      <c r="X151" s="120"/>
      <c r="Y151" s="162"/>
    </row>
    <row r="152" spans="1:25" x14ac:dyDescent="0.25">
      <c r="A152" s="125"/>
      <c r="B152" s="142"/>
      <c r="C152" s="143"/>
      <c r="D152" s="120"/>
      <c r="E152" s="130"/>
      <c r="F152" s="131"/>
      <c r="G152" s="119"/>
      <c r="H152" s="120"/>
      <c r="I152" s="120"/>
      <c r="J152" s="121"/>
      <c r="K152" s="122"/>
      <c r="L152" s="120"/>
      <c r="M152" s="120"/>
      <c r="N152" s="120"/>
      <c r="O152" s="123"/>
      <c r="P152" s="115"/>
      <c r="Q152" s="116"/>
      <c r="R152" s="117"/>
      <c r="S152" s="118"/>
      <c r="T152" s="120"/>
      <c r="U152" s="112"/>
      <c r="V152" s="112"/>
      <c r="W152" s="112"/>
      <c r="X152" s="120"/>
      <c r="Y152" s="162"/>
    </row>
    <row r="153" spans="1:25" x14ac:dyDescent="0.25">
      <c r="A153" s="125"/>
      <c r="B153" s="142"/>
      <c r="C153" s="143"/>
      <c r="D153" s="120"/>
      <c r="E153" s="130"/>
      <c r="F153" s="131"/>
      <c r="G153" s="119"/>
      <c r="H153" s="120"/>
      <c r="I153" s="120"/>
      <c r="J153" s="121"/>
      <c r="K153" s="122"/>
      <c r="L153" s="120"/>
      <c r="M153" s="120"/>
      <c r="N153" s="120"/>
      <c r="O153" s="123"/>
      <c r="P153" s="115"/>
      <c r="Q153" s="116"/>
      <c r="R153" s="117"/>
      <c r="S153" s="118"/>
      <c r="T153" s="120"/>
      <c r="U153" s="112"/>
      <c r="V153" s="112"/>
      <c r="W153" s="112"/>
      <c r="X153" s="120"/>
      <c r="Y153" s="162"/>
    </row>
    <row r="154" spans="1:25" x14ac:dyDescent="0.25">
      <c r="A154" s="125"/>
      <c r="B154" s="142"/>
      <c r="C154" s="143"/>
      <c r="D154" s="120"/>
      <c r="E154" s="130"/>
      <c r="F154" s="131"/>
      <c r="G154" s="119"/>
      <c r="H154" s="120"/>
      <c r="I154" s="120"/>
      <c r="J154" s="121"/>
      <c r="K154" s="122"/>
      <c r="L154" s="120"/>
      <c r="M154" s="120"/>
      <c r="N154" s="120"/>
      <c r="O154" s="123"/>
      <c r="P154" s="115"/>
      <c r="Q154" s="116"/>
      <c r="R154" s="117"/>
      <c r="S154" s="118"/>
      <c r="T154" s="120"/>
      <c r="U154" s="112"/>
      <c r="V154" s="112"/>
      <c r="W154" s="112"/>
      <c r="X154" s="120"/>
      <c r="Y154" s="162"/>
    </row>
    <row r="155" spans="1:25" x14ac:dyDescent="0.25">
      <c r="A155" s="125"/>
      <c r="B155" s="142"/>
      <c r="C155" s="143"/>
      <c r="D155" s="120"/>
      <c r="E155" s="130"/>
      <c r="F155" s="131"/>
      <c r="G155" s="119"/>
      <c r="H155" s="120"/>
      <c r="I155" s="120"/>
      <c r="J155" s="121"/>
      <c r="K155" s="122"/>
      <c r="L155" s="120"/>
      <c r="M155" s="120"/>
      <c r="N155" s="120"/>
      <c r="O155" s="123"/>
      <c r="P155" s="115"/>
      <c r="Q155" s="116"/>
      <c r="R155" s="117"/>
      <c r="S155" s="118"/>
      <c r="T155" s="120"/>
      <c r="U155" s="112"/>
      <c r="V155" s="112"/>
      <c r="W155" s="112"/>
      <c r="X155" s="120"/>
      <c r="Y155" s="162"/>
    </row>
    <row r="156" spans="1:25" x14ac:dyDescent="0.25">
      <c r="A156" s="125"/>
      <c r="B156" s="142"/>
      <c r="C156" s="143"/>
      <c r="D156" s="120"/>
      <c r="E156" s="130"/>
      <c r="F156" s="131"/>
      <c r="G156" s="119"/>
      <c r="H156" s="120"/>
      <c r="I156" s="120"/>
      <c r="J156" s="121"/>
      <c r="K156" s="122"/>
      <c r="L156" s="120"/>
      <c r="M156" s="120"/>
      <c r="N156" s="120"/>
      <c r="O156" s="123"/>
      <c r="P156" s="115"/>
      <c r="Q156" s="116"/>
      <c r="R156" s="117"/>
      <c r="S156" s="118"/>
      <c r="T156" s="120"/>
      <c r="U156" s="112"/>
      <c r="V156" s="112"/>
      <c r="W156" s="112"/>
      <c r="X156" s="120"/>
      <c r="Y156" s="162"/>
    </row>
    <row r="157" spans="1:25" x14ac:dyDescent="0.25">
      <c r="A157" s="125"/>
      <c r="B157" s="142"/>
      <c r="C157" s="143"/>
      <c r="D157" s="120"/>
      <c r="E157" s="130"/>
      <c r="F157" s="131"/>
      <c r="G157" s="119"/>
      <c r="H157" s="120"/>
      <c r="I157" s="120"/>
      <c r="J157" s="121"/>
      <c r="K157" s="122"/>
      <c r="L157" s="120"/>
      <c r="M157" s="120"/>
      <c r="N157" s="120"/>
      <c r="O157" s="123"/>
      <c r="P157" s="115"/>
      <c r="Q157" s="116"/>
      <c r="R157" s="117"/>
      <c r="S157" s="118"/>
      <c r="T157" s="120"/>
      <c r="U157" s="112"/>
      <c r="V157" s="112"/>
      <c r="W157" s="112"/>
      <c r="X157" s="120"/>
      <c r="Y157" s="162"/>
    </row>
    <row r="158" spans="1:25" x14ac:dyDescent="0.25">
      <c r="A158" s="125"/>
      <c r="B158" s="142"/>
      <c r="C158" s="143"/>
      <c r="D158" s="120"/>
      <c r="E158" s="130"/>
      <c r="F158" s="131"/>
      <c r="G158" s="119"/>
      <c r="H158" s="120"/>
      <c r="I158" s="120"/>
      <c r="J158" s="121"/>
      <c r="K158" s="122"/>
      <c r="L158" s="120"/>
      <c r="M158" s="120"/>
      <c r="N158" s="120"/>
      <c r="O158" s="123"/>
      <c r="P158" s="115"/>
      <c r="Q158" s="116"/>
      <c r="R158" s="117"/>
      <c r="S158" s="118"/>
      <c r="T158" s="120"/>
      <c r="U158" s="112"/>
      <c r="V158" s="112"/>
      <c r="W158" s="112"/>
      <c r="X158" s="120"/>
      <c r="Y158" s="162"/>
    </row>
    <row r="159" spans="1:25" x14ac:dyDescent="0.25">
      <c r="A159" s="138"/>
      <c r="B159" s="138"/>
      <c r="C159" s="138"/>
      <c r="D159" s="120"/>
      <c r="E159" s="130"/>
      <c r="F159" s="131"/>
      <c r="G159" s="119"/>
      <c r="H159" s="120"/>
      <c r="I159" s="120"/>
      <c r="J159" s="121"/>
      <c r="K159" s="122"/>
      <c r="L159" s="120"/>
      <c r="M159" s="120"/>
      <c r="N159" s="120"/>
      <c r="O159" s="123"/>
      <c r="P159" s="115"/>
      <c r="Q159" s="116"/>
      <c r="R159" s="117"/>
      <c r="S159" s="118"/>
      <c r="T159" s="120"/>
      <c r="U159" s="112"/>
      <c r="V159" s="112"/>
      <c r="W159" s="112"/>
      <c r="X159" s="120"/>
      <c r="Y159" s="162"/>
    </row>
    <row r="160" spans="1:25" x14ac:dyDescent="0.25">
      <c r="A160" s="125"/>
      <c r="B160" s="142"/>
      <c r="C160" s="143"/>
      <c r="D160" s="120"/>
      <c r="E160" s="130"/>
      <c r="F160" s="131"/>
      <c r="G160" s="119"/>
      <c r="H160" s="120"/>
      <c r="I160" s="120"/>
      <c r="J160" s="121"/>
      <c r="K160" s="122"/>
      <c r="L160" s="120"/>
      <c r="M160" s="120"/>
      <c r="N160" s="120"/>
      <c r="O160" s="123"/>
      <c r="P160" s="115"/>
      <c r="Q160" s="116"/>
      <c r="R160" s="117"/>
      <c r="S160" s="118"/>
      <c r="T160" s="120"/>
      <c r="U160" s="112"/>
      <c r="V160" s="112"/>
      <c r="W160" s="112"/>
      <c r="X160" s="120"/>
      <c r="Y160" s="162"/>
    </row>
    <row r="161" spans="1:25" x14ac:dyDescent="0.25">
      <c r="A161" s="125"/>
      <c r="B161" s="142"/>
      <c r="C161" s="143"/>
      <c r="D161" s="120"/>
      <c r="E161" s="130"/>
      <c r="F161" s="131"/>
      <c r="G161" s="119"/>
      <c r="H161" s="120"/>
      <c r="I161" s="120"/>
      <c r="J161" s="121"/>
      <c r="K161" s="122"/>
      <c r="L161" s="120"/>
      <c r="M161" s="120"/>
      <c r="N161" s="120"/>
      <c r="O161" s="123"/>
      <c r="P161" s="115"/>
      <c r="Q161" s="116"/>
      <c r="R161" s="117"/>
      <c r="S161" s="118"/>
      <c r="T161" s="120"/>
      <c r="U161" s="112"/>
      <c r="V161" s="112"/>
      <c r="W161" s="112"/>
      <c r="X161" s="120"/>
      <c r="Y161" s="162"/>
    </row>
    <row r="162" spans="1:25" x14ac:dyDescent="0.25">
      <c r="A162" s="125"/>
      <c r="B162" s="142"/>
      <c r="C162" s="143"/>
      <c r="D162" s="120"/>
      <c r="E162" s="130"/>
      <c r="F162" s="131"/>
      <c r="G162" s="119"/>
      <c r="H162" s="120"/>
      <c r="I162" s="120"/>
      <c r="J162" s="121"/>
      <c r="K162" s="122"/>
      <c r="L162" s="120"/>
      <c r="M162" s="120"/>
      <c r="N162" s="120"/>
      <c r="O162" s="123"/>
      <c r="P162" s="115"/>
      <c r="Q162" s="116"/>
      <c r="R162" s="117"/>
      <c r="S162" s="118"/>
      <c r="T162" s="120"/>
      <c r="U162" s="112"/>
      <c r="V162" s="112"/>
      <c r="W162" s="112"/>
      <c r="X162" s="120"/>
      <c r="Y162" s="162"/>
    </row>
    <row r="163" spans="1:25" x14ac:dyDescent="0.25">
      <c r="A163" s="125"/>
      <c r="B163" s="142"/>
      <c r="C163" s="143"/>
      <c r="D163" s="120"/>
      <c r="E163" s="130"/>
      <c r="F163" s="131"/>
      <c r="G163" s="119"/>
      <c r="H163" s="120"/>
      <c r="I163" s="120"/>
      <c r="J163" s="121"/>
      <c r="K163" s="122"/>
      <c r="L163" s="120"/>
      <c r="M163" s="120"/>
      <c r="N163" s="120"/>
      <c r="O163" s="123"/>
      <c r="P163" s="115"/>
      <c r="Q163" s="116"/>
      <c r="R163" s="117"/>
      <c r="S163" s="118"/>
      <c r="T163" s="120"/>
      <c r="U163" s="112"/>
      <c r="V163" s="112"/>
      <c r="W163" s="112"/>
      <c r="X163" s="120"/>
      <c r="Y163" s="162"/>
    </row>
    <row r="164" spans="1:25" x14ac:dyDescent="0.25">
      <c r="A164" s="125"/>
      <c r="B164" s="142"/>
      <c r="C164" s="143"/>
      <c r="D164" s="120"/>
      <c r="E164" s="130"/>
      <c r="F164" s="131"/>
      <c r="G164" s="119"/>
      <c r="H164" s="120"/>
      <c r="I164" s="120"/>
      <c r="J164" s="121"/>
      <c r="K164" s="122"/>
      <c r="L164" s="120"/>
      <c r="M164" s="120"/>
      <c r="N164" s="120"/>
      <c r="O164" s="123"/>
      <c r="P164" s="115"/>
      <c r="Q164" s="116"/>
      <c r="R164" s="117"/>
      <c r="S164" s="118"/>
      <c r="T164" s="120"/>
      <c r="U164" s="112"/>
      <c r="V164" s="112"/>
      <c r="W164" s="112"/>
      <c r="X164" s="120"/>
      <c r="Y164" s="162"/>
    </row>
    <row r="165" spans="1:25" x14ac:dyDescent="0.25">
      <c r="A165" s="125"/>
      <c r="B165" s="142"/>
      <c r="C165" s="143"/>
      <c r="D165" s="120"/>
      <c r="E165" s="130"/>
      <c r="F165" s="131"/>
      <c r="G165" s="119"/>
      <c r="H165" s="120"/>
      <c r="I165" s="120"/>
      <c r="J165" s="121"/>
      <c r="K165" s="122"/>
      <c r="L165" s="120"/>
      <c r="M165" s="120"/>
      <c r="N165" s="120"/>
      <c r="O165" s="123"/>
      <c r="P165" s="115"/>
      <c r="Q165" s="116"/>
      <c r="R165" s="117"/>
      <c r="S165" s="118"/>
      <c r="T165" s="120"/>
      <c r="U165" s="112"/>
      <c r="V165" s="112"/>
      <c r="W165" s="112"/>
      <c r="X165" s="120"/>
      <c r="Y165" s="162"/>
    </row>
    <row r="166" spans="1:25" x14ac:dyDescent="0.25">
      <c r="A166" s="125"/>
      <c r="B166" s="142"/>
      <c r="C166" s="143"/>
      <c r="D166" s="120"/>
      <c r="E166" s="130"/>
      <c r="F166" s="131"/>
      <c r="G166" s="119"/>
      <c r="H166" s="120"/>
      <c r="I166" s="120"/>
      <c r="J166" s="121"/>
      <c r="K166" s="122"/>
      <c r="L166" s="120"/>
      <c r="M166" s="120"/>
      <c r="N166" s="120"/>
      <c r="O166" s="123"/>
      <c r="P166" s="115"/>
      <c r="Q166" s="116"/>
      <c r="R166" s="117"/>
      <c r="S166" s="118"/>
      <c r="T166" s="120"/>
      <c r="U166" s="112"/>
      <c r="V166" s="112"/>
      <c r="W166" s="112"/>
      <c r="X166" s="120"/>
      <c r="Y166" s="162"/>
    </row>
    <row r="167" spans="1:25" x14ac:dyDescent="0.25">
      <c r="A167" s="125"/>
      <c r="B167" s="142"/>
      <c r="C167" s="143"/>
      <c r="D167" s="120"/>
      <c r="E167" s="130"/>
      <c r="F167" s="131"/>
      <c r="G167" s="119"/>
      <c r="H167" s="120"/>
      <c r="I167" s="120"/>
      <c r="J167" s="121"/>
      <c r="K167" s="122"/>
      <c r="L167" s="120"/>
      <c r="M167" s="120"/>
      <c r="N167" s="120"/>
      <c r="O167" s="123"/>
      <c r="P167" s="115"/>
      <c r="Q167" s="116"/>
      <c r="R167" s="117"/>
      <c r="S167" s="118"/>
      <c r="T167" s="120"/>
      <c r="U167" s="112"/>
      <c r="V167" s="112"/>
      <c r="W167" s="112"/>
      <c r="X167" s="120"/>
      <c r="Y167" s="162"/>
    </row>
    <row r="168" spans="1:25" x14ac:dyDescent="0.25">
      <c r="A168" s="125"/>
      <c r="B168" s="144"/>
      <c r="C168" s="145"/>
      <c r="D168" s="132"/>
      <c r="E168" s="8"/>
      <c r="F168" s="133"/>
      <c r="G168" s="104"/>
      <c r="H168" s="8"/>
      <c r="I168" s="8"/>
      <c r="J168" s="124"/>
      <c r="K168" s="105"/>
      <c r="L168" s="8"/>
      <c r="M168" s="8"/>
      <c r="N168" s="8"/>
      <c r="O168" s="123"/>
      <c r="P168" s="115"/>
      <c r="Q168" s="116"/>
      <c r="R168" s="117"/>
      <c r="S168" s="118"/>
      <c r="T168" s="120"/>
      <c r="U168" s="112"/>
      <c r="V168" s="112"/>
      <c r="W168" s="112"/>
      <c r="X168" s="125"/>
      <c r="Y168" s="162"/>
    </row>
    <row r="169" spans="1:25" x14ac:dyDescent="0.25">
      <c r="A169" s="125"/>
      <c r="B169" s="144"/>
      <c r="C169" s="145"/>
      <c r="D169" s="132"/>
      <c r="E169" s="8"/>
      <c r="F169" s="133"/>
      <c r="G169" s="104"/>
      <c r="H169" s="8"/>
      <c r="I169" s="8"/>
      <c r="J169" s="124"/>
      <c r="K169" s="105"/>
      <c r="L169" s="8"/>
      <c r="M169" s="8"/>
      <c r="N169" s="8"/>
      <c r="O169" s="126"/>
      <c r="P169" s="115"/>
      <c r="Q169" s="116"/>
      <c r="R169" s="117"/>
      <c r="S169" s="118"/>
      <c r="T169" s="120"/>
      <c r="U169" s="112"/>
      <c r="V169" s="112"/>
      <c r="W169" s="112"/>
      <c r="X169" s="125"/>
      <c r="Y169" s="162"/>
    </row>
    <row r="170" spans="1:25" x14ac:dyDescent="0.25">
      <c r="A170" s="125"/>
      <c r="B170" s="144"/>
      <c r="C170" s="145"/>
      <c r="D170" s="132"/>
      <c r="E170" s="8"/>
      <c r="F170" s="133"/>
      <c r="G170" s="104"/>
      <c r="H170" s="8"/>
      <c r="I170" s="8"/>
      <c r="J170" s="124"/>
      <c r="K170" s="105"/>
      <c r="L170" s="8"/>
      <c r="M170" s="8"/>
      <c r="N170" s="8"/>
      <c r="O170" s="126"/>
      <c r="P170" s="115"/>
      <c r="Q170" s="116"/>
      <c r="R170" s="117"/>
      <c r="S170" s="118"/>
      <c r="T170" s="120"/>
      <c r="U170" s="112"/>
      <c r="V170" s="112"/>
      <c r="W170" s="112"/>
      <c r="X170" s="125"/>
      <c r="Y170" s="162"/>
    </row>
    <row r="171" spans="1:25" x14ac:dyDescent="0.25">
      <c r="A171" s="125"/>
      <c r="B171" s="144"/>
      <c r="C171" s="145"/>
      <c r="D171" s="132"/>
      <c r="E171" s="8"/>
      <c r="F171" s="133"/>
      <c r="G171" s="104"/>
      <c r="H171" s="8"/>
      <c r="I171" s="8"/>
      <c r="J171" s="124"/>
      <c r="K171" s="105"/>
      <c r="L171" s="8"/>
      <c r="M171" s="8"/>
      <c r="N171" s="8"/>
      <c r="O171" s="126"/>
      <c r="P171" s="115"/>
      <c r="Q171" s="116"/>
      <c r="R171" s="117"/>
      <c r="S171" s="118"/>
      <c r="T171" s="120"/>
      <c r="U171" s="112"/>
      <c r="V171" s="112"/>
      <c r="W171" s="112"/>
      <c r="X171" s="125"/>
      <c r="Y171" s="162"/>
    </row>
    <row r="172" spans="1:25" x14ac:dyDescent="0.25">
      <c r="A172" s="125"/>
      <c r="B172" s="144"/>
      <c r="C172" s="145"/>
      <c r="D172" s="8"/>
      <c r="E172" s="8"/>
      <c r="F172" s="133"/>
      <c r="G172" s="104"/>
      <c r="H172" s="8"/>
      <c r="I172" s="8"/>
      <c r="J172" s="124"/>
      <c r="K172" s="105"/>
      <c r="L172" s="8"/>
      <c r="M172" s="8"/>
      <c r="N172" s="8"/>
      <c r="O172" s="126"/>
      <c r="P172" s="115"/>
      <c r="Q172" s="116"/>
      <c r="R172" s="117"/>
      <c r="S172" s="118"/>
      <c r="T172" s="120"/>
      <c r="U172" s="112"/>
      <c r="V172" s="112"/>
      <c r="W172" s="112"/>
      <c r="X172" s="125"/>
      <c r="Y172" s="162"/>
    </row>
    <row r="173" spans="1:25" x14ac:dyDescent="0.25">
      <c r="A173" s="125"/>
      <c r="B173" s="144"/>
      <c r="C173" s="145"/>
      <c r="D173" s="132"/>
      <c r="E173" s="8"/>
      <c r="F173" s="133"/>
      <c r="G173" s="104"/>
      <c r="H173" s="8"/>
      <c r="I173" s="8"/>
      <c r="J173" s="124"/>
      <c r="K173" s="105"/>
      <c r="L173" s="8"/>
      <c r="M173" s="8"/>
      <c r="N173" s="8"/>
      <c r="O173" s="126"/>
      <c r="P173" s="115"/>
      <c r="Q173" s="116"/>
      <c r="R173" s="117"/>
      <c r="S173" s="118"/>
      <c r="T173" s="120"/>
      <c r="U173" s="112"/>
      <c r="V173" s="112"/>
      <c r="W173" s="112"/>
      <c r="X173" s="125"/>
      <c r="Y173" s="162"/>
    </row>
    <row r="174" spans="1:25" x14ac:dyDescent="0.25">
      <c r="A174" s="125"/>
      <c r="B174" s="144"/>
      <c r="C174" s="145"/>
      <c r="D174" s="132"/>
      <c r="E174" s="8"/>
      <c r="F174" s="133"/>
      <c r="G174" s="104"/>
      <c r="H174" s="8"/>
      <c r="I174" s="8"/>
      <c r="J174" s="124"/>
      <c r="K174" s="105"/>
      <c r="L174" s="8"/>
      <c r="M174" s="8"/>
      <c r="N174" s="8"/>
      <c r="O174" s="126"/>
      <c r="P174" s="115"/>
      <c r="Q174" s="116"/>
      <c r="R174" s="117"/>
      <c r="S174" s="118"/>
      <c r="T174" s="120"/>
      <c r="U174" s="112"/>
      <c r="V174" s="112"/>
      <c r="W174" s="112"/>
      <c r="X174" s="125"/>
      <c r="Y174" s="162"/>
    </row>
    <row r="175" spans="1:25" x14ac:dyDescent="0.25">
      <c r="A175" s="125"/>
      <c r="B175" s="144"/>
      <c r="C175" s="145"/>
      <c r="D175" s="132"/>
      <c r="E175" s="8"/>
      <c r="F175" s="133"/>
      <c r="G175" s="104"/>
      <c r="H175" s="8"/>
      <c r="I175" s="8"/>
      <c r="J175" s="124"/>
      <c r="K175" s="105"/>
      <c r="L175" s="8"/>
      <c r="M175" s="8"/>
      <c r="N175" s="8"/>
      <c r="O175" s="126"/>
      <c r="P175" s="115"/>
      <c r="Q175" s="116"/>
      <c r="R175" s="117"/>
      <c r="S175" s="118"/>
      <c r="T175" s="120"/>
      <c r="U175" s="112"/>
      <c r="V175" s="8"/>
      <c r="W175" s="125"/>
      <c r="X175" s="125"/>
      <c r="Y175" s="162"/>
    </row>
    <row r="176" spans="1:25" x14ac:dyDescent="0.25">
      <c r="A176" s="125"/>
      <c r="B176" s="144"/>
      <c r="C176" s="145"/>
      <c r="D176" s="132"/>
      <c r="E176" s="8"/>
      <c r="F176" s="133"/>
      <c r="G176" s="104"/>
      <c r="H176" s="8"/>
      <c r="I176" s="8"/>
      <c r="J176" s="124"/>
      <c r="K176" s="105"/>
      <c r="L176" s="8"/>
      <c r="M176" s="8"/>
      <c r="N176" s="8"/>
      <c r="O176" s="126"/>
      <c r="P176" s="115"/>
      <c r="Q176" s="116"/>
      <c r="R176" s="117"/>
      <c r="S176" s="118"/>
      <c r="T176" s="120"/>
      <c r="U176" s="112"/>
      <c r="V176" s="8"/>
      <c r="W176" s="125"/>
      <c r="X176" s="125"/>
      <c r="Y176" s="162"/>
    </row>
    <row r="177" spans="1:25" x14ac:dyDescent="0.25">
      <c r="A177" s="8"/>
      <c r="B177" s="146"/>
      <c r="C177" s="147"/>
      <c r="D177" s="8"/>
      <c r="E177" s="8"/>
      <c r="F177" s="133"/>
      <c r="G177" s="104"/>
      <c r="H177" s="8"/>
      <c r="I177" s="8"/>
      <c r="J177" s="124"/>
      <c r="K177" s="105"/>
      <c r="L177" s="8"/>
      <c r="M177" s="8"/>
      <c r="N177" s="8"/>
      <c r="O177" s="126"/>
      <c r="P177" s="115"/>
      <c r="Q177" s="116"/>
      <c r="R177" s="117"/>
      <c r="S177" s="118"/>
      <c r="T177" s="120"/>
      <c r="U177" s="112"/>
      <c r="V177" s="8"/>
      <c r="W177" s="125"/>
      <c r="X177" s="125"/>
      <c r="Y177" s="162"/>
    </row>
    <row r="178" spans="1:25" x14ac:dyDescent="0.25">
      <c r="A178" s="125"/>
      <c r="B178" s="144"/>
      <c r="C178" s="145"/>
      <c r="D178" s="132"/>
      <c r="E178" s="125"/>
      <c r="F178" s="133"/>
      <c r="G178" s="104"/>
      <c r="H178" s="8"/>
      <c r="I178" s="8"/>
      <c r="J178" s="124"/>
      <c r="K178" s="105"/>
      <c r="L178" s="8"/>
      <c r="M178" s="8"/>
      <c r="N178" s="8"/>
      <c r="O178" s="126"/>
      <c r="P178" s="123"/>
      <c r="Q178" s="125"/>
      <c r="R178" s="127"/>
      <c r="S178" s="125"/>
      <c r="T178" s="125"/>
      <c r="U178" s="125"/>
      <c r="V178" s="8"/>
      <c r="W178" s="125"/>
      <c r="X178" s="125"/>
      <c r="Y178" s="162"/>
    </row>
    <row r="179" spans="1:25" x14ac:dyDescent="0.25">
      <c r="A179" s="138"/>
      <c r="B179" s="138"/>
      <c r="C179" s="138"/>
      <c r="D179" s="132"/>
      <c r="E179" s="8"/>
      <c r="F179" s="133"/>
      <c r="G179" s="104"/>
      <c r="H179" s="8"/>
      <c r="I179" s="8"/>
      <c r="J179" s="124"/>
      <c r="K179" s="105"/>
      <c r="L179" s="8"/>
      <c r="M179" s="8"/>
      <c r="N179" s="8"/>
      <c r="O179" s="126"/>
      <c r="P179" s="123"/>
      <c r="Q179" s="125"/>
      <c r="R179" s="127"/>
      <c r="S179" s="125"/>
      <c r="T179" s="125"/>
      <c r="U179" s="125"/>
      <c r="V179" s="8"/>
      <c r="W179" s="125"/>
      <c r="X179" s="125"/>
      <c r="Y179" s="162"/>
    </row>
    <row r="180" spans="1:25" x14ac:dyDescent="0.25">
      <c r="A180" s="138"/>
      <c r="B180" s="138"/>
      <c r="C180" s="138"/>
      <c r="D180" s="132"/>
      <c r="E180" s="125"/>
      <c r="F180" s="133"/>
      <c r="G180" s="104"/>
      <c r="H180" s="8"/>
      <c r="I180" s="8"/>
      <c r="J180" s="124"/>
      <c r="K180" s="105"/>
      <c r="L180" s="8"/>
      <c r="M180" s="8"/>
      <c r="N180" s="8"/>
      <c r="O180" s="126"/>
      <c r="P180" s="123"/>
      <c r="Q180" s="125"/>
      <c r="R180" s="127"/>
      <c r="S180" s="125"/>
      <c r="T180" s="125"/>
      <c r="U180" s="125"/>
      <c r="V180" s="8"/>
      <c r="W180" s="125"/>
      <c r="X180" s="125"/>
      <c r="Y180" s="162"/>
    </row>
    <row r="181" spans="1:25" x14ac:dyDescent="0.25">
      <c r="A181" s="125"/>
      <c r="B181" s="144"/>
      <c r="C181" s="145"/>
      <c r="D181" s="132"/>
      <c r="E181" s="125"/>
      <c r="F181" s="133"/>
      <c r="G181" s="104"/>
      <c r="H181" s="8"/>
      <c r="I181" s="8"/>
      <c r="J181" s="124"/>
      <c r="K181" s="105"/>
      <c r="L181" s="8"/>
      <c r="M181" s="8"/>
      <c r="N181" s="8"/>
      <c r="O181" s="126"/>
      <c r="P181" s="123"/>
      <c r="Q181" s="125"/>
      <c r="R181" s="127"/>
      <c r="S181" s="125"/>
      <c r="T181" s="125"/>
      <c r="U181" s="125"/>
      <c r="V181" s="8"/>
      <c r="W181" s="125"/>
      <c r="X181" s="125"/>
      <c r="Y181" s="162"/>
    </row>
    <row r="182" spans="1:25" x14ac:dyDescent="0.25">
      <c r="A182" s="125"/>
      <c r="B182" s="144"/>
      <c r="C182" s="145"/>
      <c r="D182" s="132"/>
      <c r="E182" s="8"/>
      <c r="F182" s="133"/>
      <c r="G182" s="104"/>
      <c r="H182" s="8"/>
      <c r="I182" s="8"/>
      <c r="J182" s="124"/>
      <c r="K182" s="105"/>
      <c r="L182" s="8"/>
      <c r="M182" s="8"/>
      <c r="N182" s="8"/>
      <c r="O182" s="126"/>
      <c r="P182" s="123"/>
      <c r="Q182" s="125"/>
      <c r="R182" s="127"/>
      <c r="S182" s="125"/>
      <c r="T182" s="125"/>
      <c r="U182" s="125"/>
      <c r="V182" s="8"/>
      <c r="W182" s="125"/>
      <c r="X182" s="125"/>
      <c r="Y182" s="162"/>
    </row>
    <row r="183" spans="1:25" x14ac:dyDescent="0.25">
      <c r="A183" s="138"/>
      <c r="B183" s="138"/>
      <c r="C183" s="138"/>
      <c r="D183" s="132"/>
      <c r="E183" s="8"/>
      <c r="F183" s="133"/>
      <c r="G183" s="104"/>
      <c r="H183" s="8"/>
      <c r="I183" s="8"/>
      <c r="J183" s="124"/>
      <c r="K183" s="105"/>
      <c r="L183" s="8"/>
      <c r="M183" s="8"/>
      <c r="N183" s="8"/>
      <c r="O183" s="126"/>
      <c r="P183" s="123"/>
      <c r="Q183" s="125"/>
      <c r="R183" s="127"/>
      <c r="S183" s="125"/>
      <c r="T183" s="125"/>
      <c r="U183" s="125"/>
      <c r="V183" s="8"/>
      <c r="W183" s="125"/>
      <c r="X183" s="125"/>
      <c r="Y183" s="162"/>
    </row>
    <row r="184" spans="1:25" x14ac:dyDescent="0.25">
      <c r="A184" s="138"/>
      <c r="B184" s="138"/>
      <c r="C184" s="138"/>
      <c r="D184" s="132"/>
      <c r="E184" s="125"/>
      <c r="F184" s="133"/>
      <c r="G184" s="104"/>
      <c r="H184" s="8"/>
      <c r="I184" s="8"/>
      <c r="J184" s="124"/>
      <c r="K184" s="105"/>
      <c r="L184" s="8"/>
      <c r="M184" s="8"/>
      <c r="N184" s="8"/>
      <c r="O184" s="126"/>
      <c r="P184" s="123"/>
      <c r="Q184" s="125"/>
      <c r="R184" s="127"/>
      <c r="S184" s="125"/>
      <c r="T184" s="125"/>
      <c r="U184" s="125"/>
      <c r="V184" s="8"/>
      <c r="W184" s="125"/>
      <c r="X184" s="125"/>
      <c r="Y184" s="162"/>
    </row>
    <row r="185" spans="1:25" x14ac:dyDescent="0.25">
      <c r="A185" s="155"/>
      <c r="B185" s="156"/>
      <c r="C185" s="157"/>
      <c r="D185" s="17"/>
      <c r="E185" s="155"/>
      <c r="F185" s="25"/>
      <c r="G185" s="104"/>
      <c r="H185"/>
      <c r="I185"/>
      <c r="J185" s="160"/>
      <c r="K185" s="105"/>
      <c r="L185"/>
      <c r="M185"/>
      <c r="N185"/>
      <c r="O185" s="19"/>
      <c r="P185" s="158"/>
      <c r="Q185" s="155"/>
      <c r="R185" s="159"/>
      <c r="S185" s="155"/>
      <c r="T185" s="155"/>
      <c r="U185" s="155"/>
      <c r="V185"/>
      <c r="W185" s="155"/>
      <c r="X185" s="155"/>
      <c r="Y185" s="164"/>
    </row>
    <row r="186" spans="1:25" x14ac:dyDescent="0.25">
      <c r="A186" s="155"/>
      <c r="B186" s="156"/>
      <c r="C186" s="157"/>
      <c r="D186" s="17"/>
      <c r="E186" s="155"/>
      <c r="F186" s="25"/>
      <c r="G186" s="104"/>
      <c r="H186"/>
      <c r="I186"/>
      <c r="J186" s="160"/>
      <c r="K186" s="105"/>
      <c r="L186"/>
      <c r="M186"/>
      <c r="N186"/>
      <c r="O186" s="19"/>
      <c r="P186" s="158"/>
      <c r="Q186" s="155"/>
      <c r="R186" s="159"/>
      <c r="S186" s="155"/>
      <c r="T186" s="155"/>
      <c r="U186" s="155"/>
      <c r="V186"/>
      <c r="W186" s="155"/>
      <c r="X186" s="155"/>
      <c r="Y186" s="164"/>
    </row>
    <row r="187" spans="1:25" x14ac:dyDescent="0.25">
      <c r="A187" s="155"/>
      <c r="B187" s="156"/>
      <c r="C187" s="157"/>
      <c r="D187" s="17"/>
      <c r="E187" s="155"/>
      <c r="F187" s="25"/>
      <c r="G187" s="104"/>
      <c r="H187"/>
      <c r="I187"/>
      <c r="J187" s="160"/>
      <c r="K187" s="105"/>
      <c r="L187"/>
      <c r="M187"/>
      <c r="N187"/>
      <c r="O187" s="19"/>
      <c r="P187" s="158"/>
      <c r="Q187" s="155"/>
      <c r="R187" s="159"/>
      <c r="S187" s="155"/>
      <c r="T187" s="155"/>
      <c r="U187" s="155"/>
      <c r="V187"/>
      <c r="W187" s="155"/>
      <c r="X187" s="155"/>
      <c r="Y187" s="164"/>
    </row>
    <row r="188" spans="1:25" x14ac:dyDescent="0.25">
      <c r="A188" s="155"/>
      <c r="B188" s="156"/>
      <c r="C188" s="157"/>
      <c r="D188" s="17"/>
      <c r="E188" s="155"/>
      <c r="F188" s="25"/>
      <c r="G188" s="104"/>
      <c r="H188"/>
      <c r="I188"/>
      <c r="J188" s="160"/>
      <c r="K188" s="105"/>
      <c r="L188"/>
      <c r="M188"/>
      <c r="N188"/>
      <c r="O188" s="19"/>
      <c r="P188" s="158"/>
      <c r="Q188" s="155"/>
      <c r="R188" s="159"/>
      <c r="S188" s="155"/>
      <c r="T188" s="155"/>
      <c r="U188" s="155"/>
      <c r="V188"/>
      <c r="W188" s="155"/>
      <c r="X188" s="155"/>
      <c r="Y188" s="164"/>
    </row>
    <row r="189" spans="1:25" x14ac:dyDescent="0.25">
      <c r="A189" s="138"/>
      <c r="B189" s="138"/>
      <c r="C189" s="138"/>
      <c r="D189" s="17"/>
      <c r="E189" s="155"/>
      <c r="F189" s="25"/>
      <c r="G189" s="104"/>
      <c r="H189"/>
      <c r="I189"/>
      <c r="J189" s="160"/>
      <c r="K189" s="105"/>
      <c r="L189"/>
      <c r="M189"/>
      <c r="N189"/>
      <c r="O189" s="19"/>
      <c r="P189" s="158"/>
      <c r="Q189" s="155"/>
      <c r="R189" s="159"/>
      <c r="S189" s="155"/>
      <c r="T189" s="155"/>
      <c r="U189" s="155"/>
      <c r="V189"/>
      <c r="W189" s="155"/>
      <c r="X189" s="155"/>
      <c r="Y189" s="164"/>
    </row>
    <row r="190" spans="1:25" x14ac:dyDescent="0.25">
      <c r="A190" s="138"/>
      <c r="B190" s="138"/>
      <c r="C190" s="138"/>
      <c r="D190" s="17"/>
      <c r="E190" s="155"/>
      <c r="F190" s="25"/>
      <c r="G190" s="104"/>
      <c r="H190"/>
      <c r="I190"/>
      <c r="J190" s="160"/>
      <c r="K190" s="105"/>
      <c r="L190"/>
      <c r="M190"/>
      <c r="N190"/>
      <c r="O190" s="19"/>
      <c r="P190" s="158"/>
      <c r="Q190" s="155"/>
      <c r="R190" s="159"/>
      <c r="S190" s="155"/>
      <c r="T190" s="155"/>
      <c r="U190" s="155"/>
      <c r="V190"/>
      <c r="W190" s="155"/>
      <c r="X190" s="155"/>
      <c r="Y190" s="164"/>
    </row>
    <row r="191" spans="1:25" x14ac:dyDescent="0.25">
      <c r="A191" s="155"/>
      <c r="B191" s="156"/>
      <c r="C191" s="157"/>
      <c r="D191" s="17"/>
      <c r="E191" s="155"/>
      <c r="F191" s="25"/>
      <c r="G191" s="104"/>
      <c r="H191"/>
      <c r="I191"/>
      <c r="J191" s="160"/>
      <c r="K191" s="105"/>
      <c r="L191"/>
      <c r="M191"/>
      <c r="N191"/>
      <c r="O191" s="19"/>
      <c r="P191" s="158"/>
      <c r="Q191" s="155"/>
      <c r="R191" s="159"/>
      <c r="S191" s="155"/>
      <c r="T191" s="155"/>
      <c r="U191" s="155"/>
      <c r="V191"/>
      <c r="W191" s="155"/>
      <c r="X191" s="155"/>
      <c r="Y191" s="164"/>
    </row>
    <row r="192" spans="1:25" x14ac:dyDescent="0.25">
      <c r="A192" s="155"/>
      <c r="B192" s="156"/>
      <c r="C192" s="157"/>
      <c r="D192" s="17"/>
      <c r="E192" s="155"/>
      <c r="F192" s="25"/>
      <c r="G192" s="104"/>
      <c r="H192"/>
      <c r="I192"/>
      <c r="J192" s="160"/>
      <c r="K192" s="105"/>
      <c r="L192"/>
      <c r="M192"/>
      <c r="N192"/>
      <c r="O192" s="19"/>
      <c r="P192" s="158"/>
      <c r="Q192" s="155"/>
      <c r="R192" s="159"/>
      <c r="S192" s="155"/>
      <c r="T192" s="155"/>
      <c r="U192" s="155"/>
      <c r="V192"/>
      <c r="W192" s="155"/>
      <c r="X192" s="155"/>
      <c r="Y192" s="164"/>
    </row>
    <row r="193" spans="1:25" x14ac:dyDescent="0.25">
      <c r="A193" s="155"/>
      <c r="B193" s="156"/>
      <c r="C193" s="157"/>
      <c r="D193" s="17"/>
      <c r="E193" s="155"/>
      <c r="F193" s="25"/>
      <c r="G193" s="104"/>
      <c r="H193"/>
      <c r="I193"/>
      <c r="J193" s="160"/>
      <c r="K193" s="105"/>
      <c r="L193"/>
      <c r="M193"/>
      <c r="N193"/>
      <c r="O193" s="19"/>
      <c r="P193" s="158"/>
      <c r="Q193" s="155"/>
      <c r="R193" s="159"/>
      <c r="S193" s="155"/>
      <c r="T193" s="155"/>
      <c r="U193" s="155"/>
      <c r="V193"/>
      <c r="W193" s="155"/>
      <c r="X193" s="155"/>
      <c r="Y193" s="164"/>
    </row>
    <row r="194" spans="1:25" x14ac:dyDescent="0.25">
      <c r="A194" s="138"/>
      <c r="B194" s="138"/>
      <c r="C194" s="138"/>
      <c r="D194" s="17"/>
      <c r="E194"/>
      <c r="F194" s="25"/>
      <c r="G194" s="104"/>
      <c r="H194"/>
      <c r="I194"/>
      <c r="J194" s="160"/>
      <c r="K194" s="105"/>
      <c r="L194"/>
      <c r="M194"/>
      <c r="N194"/>
      <c r="O194" s="19"/>
      <c r="P194" s="158"/>
      <c r="Q194" s="155"/>
      <c r="R194" s="159"/>
      <c r="S194" s="155"/>
      <c r="T194" s="155"/>
      <c r="U194" s="155"/>
      <c r="V194"/>
      <c r="W194" s="155"/>
      <c r="X194" s="155"/>
      <c r="Y194" s="164"/>
    </row>
    <row r="195" spans="1:25" x14ac:dyDescent="0.25">
      <c r="A195" s="155"/>
      <c r="B195" s="156"/>
      <c r="C195" s="157"/>
      <c r="D195" s="17"/>
      <c r="E195" s="155"/>
      <c r="F195" s="25"/>
      <c r="G195" s="104"/>
      <c r="H195"/>
      <c r="I195"/>
      <c r="J195" s="160"/>
      <c r="K195" s="105"/>
      <c r="L195"/>
      <c r="M195"/>
      <c r="N195"/>
      <c r="O195" s="19"/>
      <c r="P195" s="158"/>
      <c r="Q195" s="155"/>
      <c r="R195" s="159"/>
      <c r="S195" s="155"/>
      <c r="T195" s="155"/>
      <c r="U195" s="155"/>
      <c r="V195"/>
      <c r="W195" s="155"/>
      <c r="X195" s="155"/>
      <c r="Y195" s="164"/>
    </row>
    <row r="196" spans="1:25" x14ac:dyDescent="0.25">
      <c r="A196" s="155"/>
      <c r="B196" s="13"/>
      <c r="C196" s="14"/>
      <c r="D196" s="17"/>
      <c r="E196" s="155"/>
      <c r="F196" s="25"/>
      <c r="G196" s="104"/>
      <c r="H196"/>
      <c r="I196"/>
      <c r="J196" s="160"/>
      <c r="K196" s="105"/>
      <c r="L196"/>
      <c r="M196"/>
      <c r="N196"/>
      <c r="O196" s="19"/>
      <c r="P196" s="158"/>
      <c r="Q196" s="155"/>
      <c r="R196" s="159"/>
      <c r="S196" s="155"/>
      <c r="T196" s="155"/>
      <c r="U196" s="155"/>
      <c r="V196"/>
      <c r="W196" s="155"/>
      <c r="X196" s="155"/>
      <c r="Y196" s="164"/>
    </row>
    <row r="197" spans="1:25" x14ac:dyDescent="0.25">
      <c r="A197" s="12"/>
      <c r="B197" s="13"/>
      <c r="C197" s="14"/>
      <c r="D197" s="8"/>
      <c r="E197" s="155"/>
      <c r="F197" s="25"/>
      <c r="G197" s="104"/>
      <c r="H197"/>
      <c r="I197"/>
      <c r="J197" s="160"/>
      <c r="K197" s="105"/>
      <c r="L197"/>
      <c r="M197"/>
      <c r="N197"/>
      <c r="O197" s="19"/>
      <c r="P197" s="158"/>
      <c r="Q197" s="155"/>
      <c r="R197" s="159"/>
      <c r="S197" s="155"/>
      <c r="T197" s="155"/>
      <c r="U197" s="155"/>
      <c r="V197"/>
      <c r="W197" s="155"/>
      <c r="X197" s="155"/>
      <c r="Y197" s="164"/>
    </row>
    <row r="198" spans="1:25" x14ac:dyDescent="0.25">
      <c r="A198" s="155"/>
      <c r="B198" s="156"/>
      <c r="C198" s="157"/>
      <c r="D198" s="17"/>
      <c r="E198" s="155"/>
      <c r="F198" s="25"/>
      <c r="G198" s="104"/>
      <c r="H198"/>
      <c r="I198"/>
      <c r="J198" s="160"/>
      <c r="K198" s="105"/>
      <c r="L198"/>
      <c r="M198"/>
      <c r="N198"/>
      <c r="O198" s="19"/>
      <c r="P198" s="158"/>
      <c r="Q198" s="155"/>
      <c r="R198" s="159"/>
      <c r="S198" s="155"/>
      <c r="T198" s="155"/>
      <c r="U198" s="155"/>
      <c r="V198"/>
      <c r="W198" s="155"/>
      <c r="X198" s="155"/>
      <c r="Y198" s="164"/>
    </row>
    <row r="199" spans="1:25" x14ac:dyDescent="0.25">
      <c r="A199" s="155"/>
      <c r="B199" s="156"/>
      <c r="C199" s="157"/>
      <c r="D199" s="17"/>
      <c r="E199" s="155"/>
      <c r="F199" s="25"/>
      <c r="G199" s="104"/>
      <c r="H199"/>
      <c r="I199"/>
      <c r="J199" s="160"/>
      <c r="K199" s="105"/>
      <c r="L199"/>
      <c r="M199"/>
      <c r="N199"/>
      <c r="O199" s="19"/>
      <c r="P199" s="158"/>
      <c r="Q199" s="155"/>
      <c r="R199" s="159"/>
      <c r="S199" s="155"/>
      <c r="T199" s="155"/>
      <c r="U199" s="155"/>
      <c r="V199"/>
      <c r="W199" s="155"/>
      <c r="X199" s="155"/>
      <c r="Y199" s="164"/>
    </row>
    <row r="200" spans="1:25" x14ac:dyDescent="0.25">
      <c r="A200" s="155"/>
      <c r="B200" s="156"/>
      <c r="C200" s="157"/>
      <c r="D200" s="17"/>
      <c r="E200" s="155"/>
      <c r="F200" s="25"/>
      <c r="G200" s="104"/>
      <c r="H200"/>
      <c r="I200"/>
      <c r="J200" s="160"/>
      <c r="K200" s="105"/>
      <c r="L200"/>
      <c r="M200"/>
      <c r="N200"/>
      <c r="O200" s="19"/>
      <c r="P200" s="158"/>
      <c r="Q200" s="155"/>
      <c r="R200" s="159"/>
      <c r="S200" s="155"/>
      <c r="T200" s="155"/>
      <c r="U200" s="155"/>
      <c r="V200"/>
      <c r="W200" s="155"/>
      <c r="X200" s="155"/>
      <c r="Y200" s="164"/>
    </row>
    <row r="201" spans="1:25" x14ac:dyDescent="0.25">
      <c r="A201" s="155"/>
      <c r="B201" s="156"/>
      <c r="C201" s="157"/>
      <c r="D201" s="17"/>
      <c r="E201" s="155"/>
      <c r="F201" s="25"/>
      <c r="G201" s="104"/>
      <c r="H201"/>
      <c r="I201"/>
      <c r="J201" s="160"/>
      <c r="K201" s="105"/>
      <c r="L201"/>
      <c r="M201"/>
      <c r="N201"/>
      <c r="O201" s="19"/>
      <c r="P201" s="158"/>
      <c r="Q201" s="155"/>
      <c r="R201" s="159"/>
      <c r="S201" s="155"/>
      <c r="T201" s="155"/>
      <c r="U201" s="155"/>
      <c r="V201"/>
      <c r="W201" s="155"/>
      <c r="X201" s="155"/>
      <c r="Y201" s="164"/>
    </row>
    <row r="202" spans="1:25" x14ac:dyDescent="0.25">
      <c r="A202" s="155"/>
      <c r="B202" s="156"/>
      <c r="C202" s="157"/>
      <c r="D202" s="17"/>
      <c r="E202" s="155"/>
      <c r="F202" s="25"/>
      <c r="G202" s="104"/>
      <c r="H202"/>
      <c r="I202"/>
      <c r="J202" s="160"/>
      <c r="K202" s="105"/>
      <c r="L202"/>
      <c r="M202"/>
      <c r="N202"/>
      <c r="O202" s="19"/>
      <c r="P202" s="158"/>
      <c r="Q202" s="155"/>
      <c r="R202" s="159"/>
      <c r="S202" s="155"/>
      <c r="T202" s="155"/>
      <c r="U202" s="155"/>
      <c r="V202"/>
      <c r="W202" s="155"/>
      <c r="X202" s="155"/>
      <c r="Y202" s="164"/>
    </row>
    <row r="203" spans="1:25" x14ac:dyDescent="0.25">
      <c r="A203" s="138"/>
      <c r="B203" s="138"/>
      <c r="C203" s="138"/>
      <c r="D203" s="17"/>
      <c r="E203" s="155"/>
      <c r="F203" s="25"/>
      <c r="G203" s="104"/>
      <c r="H203"/>
      <c r="I203"/>
      <c r="J203" s="160"/>
      <c r="K203" s="105"/>
      <c r="L203"/>
      <c r="M203"/>
      <c r="N203"/>
      <c r="O203" s="19"/>
      <c r="P203" s="158"/>
      <c r="Q203" s="155"/>
      <c r="R203" s="159"/>
      <c r="S203" s="155"/>
      <c r="T203" s="155"/>
      <c r="U203" s="155"/>
      <c r="V203"/>
      <c r="W203" s="155"/>
      <c r="X203" s="155"/>
      <c r="Y203" s="164"/>
    </row>
    <row r="204" spans="1:25" x14ac:dyDescent="0.25">
      <c r="A204" s="155"/>
      <c r="B204" s="156"/>
      <c r="C204" s="157"/>
      <c r="D204" s="17"/>
      <c r="E204" s="155"/>
      <c r="F204" s="25"/>
      <c r="G204" s="104"/>
      <c r="H204"/>
      <c r="I204"/>
      <c r="J204" s="160"/>
      <c r="K204" s="105"/>
      <c r="L204"/>
      <c r="M204"/>
      <c r="N204"/>
      <c r="O204" s="19"/>
      <c r="P204" s="158"/>
      <c r="Q204" s="155"/>
      <c r="R204" s="159"/>
      <c r="S204" s="155"/>
      <c r="T204" s="155"/>
      <c r="U204" s="155"/>
      <c r="V204"/>
      <c r="W204" s="155"/>
      <c r="X204" s="155"/>
      <c r="Y204" s="164"/>
    </row>
    <row r="205" spans="1:25" x14ac:dyDescent="0.25">
      <c r="A205" s="155"/>
      <c r="B205" s="156"/>
      <c r="C205" s="157"/>
      <c r="D205" s="17"/>
      <c r="E205" s="155"/>
      <c r="F205" s="25"/>
      <c r="G205" s="104"/>
      <c r="H205"/>
      <c r="I205"/>
      <c r="J205" s="160"/>
      <c r="K205" s="105"/>
      <c r="L205"/>
      <c r="M205"/>
      <c r="N205"/>
      <c r="O205" s="19"/>
      <c r="P205" s="158"/>
      <c r="Q205" s="155"/>
      <c r="R205" s="159"/>
      <c r="S205" s="155"/>
      <c r="T205" s="155"/>
      <c r="U205" s="155"/>
      <c r="V205"/>
      <c r="W205" s="155"/>
      <c r="X205" s="155"/>
      <c r="Y205" s="164"/>
    </row>
    <row r="206" spans="1:25" x14ac:dyDescent="0.25">
      <c r="A206" s="155"/>
      <c r="B206" s="156"/>
      <c r="C206" s="157"/>
      <c r="D206" s="17"/>
      <c r="E206" s="155"/>
      <c r="F206" s="25"/>
      <c r="G206" s="104"/>
      <c r="H206"/>
      <c r="I206"/>
      <c r="J206" s="160"/>
      <c r="K206" s="105"/>
      <c r="L206"/>
      <c r="M206"/>
      <c r="N206"/>
      <c r="O206" s="19"/>
      <c r="P206" s="158"/>
      <c r="Q206" s="155"/>
      <c r="R206" s="159"/>
      <c r="S206" s="155"/>
      <c r="T206" s="155"/>
      <c r="U206" s="155"/>
      <c r="V206"/>
      <c r="W206" s="155"/>
      <c r="X206" s="155"/>
      <c r="Y206" s="164"/>
    </row>
    <row r="207" spans="1:25" x14ac:dyDescent="0.25">
      <c r="A207" s="155"/>
      <c r="B207" s="156"/>
      <c r="C207" s="157"/>
      <c r="D207" s="17"/>
      <c r="E207" s="155"/>
      <c r="F207" s="25"/>
      <c r="G207" s="104"/>
      <c r="H207"/>
      <c r="I207"/>
      <c r="J207" s="160"/>
      <c r="K207" s="105"/>
      <c r="L207"/>
      <c r="M207"/>
      <c r="N207"/>
      <c r="O207" s="19"/>
      <c r="P207" s="158"/>
      <c r="Q207" s="155"/>
      <c r="R207" s="159"/>
      <c r="S207" s="155"/>
      <c r="T207" s="155"/>
      <c r="U207" s="155"/>
      <c r="V207"/>
      <c r="W207" s="155"/>
      <c r="X207" s="155"/>
      <c r="Y207" s="164"/>
    </row>
    <row r="208" spans="1:25" x14ac:dyDescent="0.25">
      <c r="A208" s="155"/>
      <c r="B208" s="156"/>
      <c r="C208" s="157"/>
      <c r="D208" s="17"/>
      <c r="E208" s="155"/>
      <c r="F208" s="25"/>
      <c r="G208" s="104"/>
      <c r="H208"/>
      <c r="I208"/>
      <c r="J208" s="160"/>
      <c r="K208" s="105"/>
      <c r="L208"/>
      <c r="M208"/>
      <c r="N208"/>
      <c r="O208" s="19"/>
      <c r="P208" s="158"/>
      <c r="Q208" s="155"/>
      <c r="R208" s="159"/>
      <c r="S208" s="155"/>
      <c r="T208" s="155"/>
      <c r="U208" s="155"/>
      <c r="V208"/>
      <c r="W208" s="155"/>
      <c r="X208" s="155"/>
      <c r="Y208" s="164"/>
    </row>
    <row r="209" spans="1:25" x14ac:dyDescent="0.25">
      <c r="A209" s="155"/>
      <c r="B209" s="156"/>
      <c r="C209" s="157"/>
      <c r="D209" s="17"/>
      <c r="E209" s="155"/>
      <c r="F209" s="25"/>
      <c r="G209" s="104"/>
      <c r="H209"/>
      <c r="I209"/>
      <c r="J209" s="160"/>
      <c r="K209" s="105"/>
      <c r="L209"/>
      <c r="M209"/>
      <c r="N209"/>
      <c r="O209" s="19"/>
      <c r="P209" s="158"/>
      <c r="Q209" s="155"/>
      <c r="R209" s="159"/>
      <c r="S209" s="155"/>
      <c r="T209" s="155"/>
      <c r="U209" s="155"/>
      <c r="V209"/>
      <c r="W209" s="155"/>
      <c r="X209" s="155"/>
      <c r="Y209" s="164"/>
    </row>
    <row r="210" spans="1:25" x14ac:dyDescent="0.25">
      <c r="A210" s="155"/>
      <c r="B210" s="156"/>
      <c r="C210" s="157"/>
      <c r="D210" s="17"/>
      <c r="E210" s="155"/>
      <c r="F210" s="25"/>
      <c r="G210" s="104"/>
      <c r="H210"/>
      <c r="I210"/>
      <c r="J210" s="160"/>
      <c r="K210" s="105"/>
      <c r="L210"/>
      <c r="M210"/>
      <c r="N210"/>
      <c r="O210" s="19"/>
      <c r="P210" s="158"/>
      <c r="Q210" s="155"/>
      <c r="R210" s="159"/>
      <c r="S210" s="155"/>
      <c r="T210" s="155"/>
      <c r="U210" s="155"/>
      <c r="V210"/>
      <c r="W210" s="155"/>
      <c r="X210" s="155"/>
      <c r="Y210" s="164"/>
    </row>
    <row r="211" spans="1:25" x14ac:dyDescent="0.25">
      <c r="A211" s="155"/>
      <c r="B211" s="156"/>
      <c r="C211" s="157"/>
      <c r="D211" s="17"/>
      <c r="E211" s="155"/>
      <c r="F211" s="25"/>
      <c r="G211" s="104"/>
      <c r="H211"/>
      <c r="I211"/>
      <c r="J211" s="160"/>
      <c r="K211" s="105"/>
      <c r="L211"/>
      <c r="M211"/>
      <c r="N211"/>
      <c r="O211" s="19"/>
      <c r="P211" s="158"/>
      <c r="Q211" s="155"/>
      <c r="R211" s="159"/>
      <c r="S211" s="155"/>
      <c r="T211" s="155"/>
      <c r="U211" s="155"/>
      <c r="V211"/>
      <c r="W211" s="155"/>
      <c r="X211" s="155"/>
      <c r="Y211" s="164"/>
    </row>
    <row r="212" spans="1:25" x14ac:dyDescent="0.25">
      <c r="A212" s="155"/>
      <c r="B212" s="156"/>
      <c r="C212" s="157"/>
      <c r="D212" s="17"/>
      <c r="E212" s="155"/>
      <c r="F212" s="25"/>
      <c r="G212" s="166"/>
      <c r="H212"/>
      <c r="I212"/>
      <c r="J212" s="160"/>
      <c r="K212" s="105"/>
      <c r="L212"/>
      <c r="M212"/>
      <c r="N212"/>
      <c r="O212" s="19"/>
      <c r="P212" s="158"/>
      <c r="Q212" s="155"/>
      <c r="R212" s="159"/>
      <c r="S212" s="155"/>
      <c r="T212" s="155"/>
      <c r="U212" s="155"/>
      <c r="V212"/>
      <c r="W212" s="155"/>
      <c r="X212" s="155"/>
      <c r="Y212" s="164"/>
    </row>
    <row r="213" spans="1:25" x14ac:dyDescent="0.25">
      <c r="A213" s="155"/>
      <c r="B213" s="156"/>
      <c r="C213" s="157"/>
      <c r="D213" s="17"/>
      <c r="E213" s="155"/>
      <c r="F213" s="25"/>
      <c r="G213" s="166"/>
      <c r="H213"/>
      <c r="I213"/>
      <c r="J213" s="160"/>
      <c r="K213" s="105"/>
      <c r="L213"/>
      <c r="M213"/>
      <c r="N213"/>
      <c r="O213" s="19"/>
      <c r="P213" s="158"/>
      <c r="Q213" s="155"/>
      <c r="R213" s="159"/>
      <c r="S213" s="155"/>
      <c r="T213" s="155"/>
      <c r="U213" s="155"/>
      <c r="V213"/>
      <c r="W213" s="155"/>
      <c r="X213" s="155"/>
      <c r="Y213" s="164"/>
    </row>
    <row r="214" spans="1:25" x14ac:dyDescent="0.25">
      <c r="A214" s="155"/>
      <c r="B214" s="156"/>
      <c r="C214" s="157"/>
      <c r="D214" s="17"/>
      <c r="E214" s="155"/>
      <c r="F214" s="25"/>
      <c r="G214" s="166"/>
      <c r="H214"/>
      <c r="I214"/>
      <c r="J214" s="160"/>
      <c r="K214" s="105"/>
      <c r="L214"/>
      <c r="M214"/>
      <c r="N214"/>
      <c r="O214" s="19"/>
      <c r="P214" s="158"/>
      <c r="Q214" s="155"/>
      <c r="R214" s="159"/>
      <c r="S214" s="155"/>
      <c r="T214" s="155"/>
      <c r="U214" s="155"/>
      <c r="V214"/>
      <c r="W214" s="155"/>
      <c r="X214" s="155"/>
      <c r="Y214" s="164"/>
    </row>
    <row r="215" spans="1:25" x14ac:dyDescent="0.25">
      <c r="A215" s="155"/>
      <c r="B215" s="156"/>
      <c r="C215" s="157"/>
      <c r="D215" s="17"/>
      <c r="E215" s="155"/>
      <c r="F215" s="25"/>
      <c r="G215" s="166"/>
      <c r="H215"/>
      <c r="I215"/>
      <c r="J215" s="160"/>
      <c r="K215" s="105"/>
      <c r="L215"/>
      <c r="M215"/>
      <c r="N215"/>
      <c r="O215" s="19"/>
      <c r="P215" s="158"/>
      <c r="Q215" s="155"/>
      <c r="R215" s="159"/>
      <c r="S215" s="155"/>
      <c r="T215" s="155"/>
      <c r="U215" s="155"/>
      <c r="V215"/>
      <c r="W215" s="155"/>
      <c r="X215" s="155"/>
      <c r="Y215" s="164"/>
    </row>
    <row r="216" spans="1:25" x14ac:dyDescent="0.25">
      <c r="A216" s="155"/>
      <c r="B216" s="156"/>
      <c r="C216" s="157"/>
      <c r="D216" s="17"/>
      <c r="E216" s="155"/>
      <c r="F216" s="25"/>
      <c r="G216" s="166"/>
      <c r="H216"/>
      <c r="I216"/>
      <c r="J216" s="160"/>
      <c r="K216" s="105"/>
      <c r="L216"/>
      <c r="M216"/>
      <c r="N216"/>
      <c r="O216" s="19"/>
      <c r="P216" s="158"/>
      <c r="Q216" s="155"/>
      <c r="R216" s="159"/>
      <c r="S216" s="155"/>
      <c r="T216" s="155"/>
      <c r="U216" s="155"/>
      <c r="V216"/>
      <c r="W216" s="155"/>
      <c r="X216" s="155"/>
      <c r="Y216" s="164"/>
    </row>
    <row r="217" spans="1:25" x14ac:dyDescent="0.25">
      <c r="A217" s="155"/>
      <c r="B217" s="156"/>
      <c r="C217" s="157"/>
      <c r="D217" s="17"/>
      <c r="E217" s="155"/>
      <c r="F217" s="25"/>
      <c r="G217" s="166"/>
      <c r="H217"/>
      <c r="I217"/>
      <c r="J217" s="160"/>
      <c r="K217" s="105"/>
      <c r="L217"/>
      <c r="M217"/>
      <c r="N217"/>
      <c r="O217" s="19"/>
      <c r="P217" s="158"/>
      <c r="Q217" s="155"/>
      <c r="R217" s="159"/>
      <c r="S217" s="155"/>
      <c r="T217" s="155"/>
      <c r="U217" s="155"/>
      <c r="V217"/>
      <c r="W217" s="155"/>
      <c r="X217" s="155"/>
      <c r="Y217" s="164"/>
    </row>
    <row r="218" spans="1:25" x14ac:dyDescent="0.25">
      <c r="A218" s="155"/>
      <c r="B218" s="156"/>
      <c r="C218" s="157"/>
      <c r="D218" s="17"/>
      <c r="E218" s="155"/>
      <c r="F218" s="25"/>
      <c r="G218" s="166"/>
      <c r="H218"/>
      <c r="I218"/>
      <c r="J218" s="160"/>
      <c r="K218" s="105"/>
      <c r="L218"/>
      <c r="M218"/>
      <c r="N218"/>
      <c r="O218" s="19"/>
      <c r="P218" s="158"/>
      <c r="Q218" s="155"/>
      <c r="R218" s="159"/>
      <c r="S218" s="155"/>
      <c r="T218" s="155"/>
      <c r="U218" s="155"/>
      <c r="V218"/>
      <c r="W218" s="155"/>
      <c r="X218" s="155"/>
      <c r="Y218" s="164"/>
    </row>
    <row r="219" spans="1:25" x14ac:dyDescent="0.25">
      <c r="A219" s="155"/>
      <c r="B219" s="156"/>
      <c r="C219" s="157"/>
      <c r="D219" s="17"/>
      <c r="E219" s="155"/>
      <c r="F219" s="25"/>
      <c r="G219" s="166"/>
      <c r="H219"/>
      <c r="I219"/>
      <c r="J219" s="160"/>
      <c r="K219" s="105"/>
      <c r="L219"/>
      <c r="M219"/>
      <c r="N219"/>
      <c r="O219" s="19"/>
      <c r="P219" s="158"/>
      <c r="Q219" s="155"/>
      <c r="R219" s="159"/>
      <c r="S219" s="155"/>
      <c r="T219" s="155"/>
      <c r="U219" s="155"/>
      <c r="V219"/>
      <c r="W219" s="155"/>
      <c r="X219" s="155"/>
      <c r="Y219" s="164"/>
    </row>
    <row r="220" spans="1:25" x14ac:dyDescent="0.25">
      <c r="A220" s="155"/>
      <c r="B220" s="156"/>
      <c r="C220" s="157"/>
      <c r="D220" s="17"/>
      <c r="E220" s="155"/>
      <c r="F220" s="25"/>
      <c r="G220" s="166"/>
      <c r="H220"/>
      <c r="I220"/>
      <c r="J220" s="160"/>
      <c r="K220" s="105"/>
      <c r="L220"/>
      <c r="M220"/>
      <c r="N220"/>
      <c r="O220" s="19"/>
      <c r="P220" s="158"/>
      <c r="Q220" s="155"/>
      <c r="R220" s="159"/>
      <c r="S220" s="155"/>
      <c r="T220" s="155"/>
      <c r="U220" s="155"/>
      <c r="V220"/>
      <c r="W220" s="155"/>
      <c r="X220" s="155"/>
      <c r="Y220" s="164"/>
    </row>
    <row r="221" spans="1:25" x14ac:dyDescent="0.25">
      <c r="A221" s="155"/>
      <c r="B221" s="156"/>
      <c r="C221" s="157"/>
      <c r="D221" s="17"/>
      <c r="E221" s="155"/>
      <c r="F221" s="25"/>
      <c r="G221" s="166"/>
      <c r="H221"/>
      <c r="I221"/>
      <c r="J221" s="160"/>
      <c r="K221" s="105"/>
      <c r="L221"/>
      <c r="M221"/>
      <c r="N221"/>
      <c r="O221" s="19"/>
      <c r="P221" s="158"/>
      <c r="Q221" s="155"/>
      <c r="R221" s="159"/>
      <c r="S221" s="155"/>
      <c r="T221" s="155"/>
      <c r="U221" s="155"/>
      <c r="V221"/>
      <c r="W221" s="155"/>
      <c r="X221" s="155"/>
      <c r="Y221" s="164"/>
    </row>
    <row r="222" spans="1:25" x14ac:dyDescent="0.25">
      <c r="A222" s="155"/>
      <c r="B222" s="156"/>
      <c r="C222" s="157"/>
      <c r="D222" s="17"/>
      <c r="E222" s="155"/>
      <c r="F222" s="25"/>
      <c r="G222" s="166"/>
      <c r="H222"/>
      <c r="I222"/>
      <c r="J222" s="160"/>
      <c r="K222" s="105"/>
      <c r="L222"/>
      <c r="M222"/>
      <c r="N222"/>
      <c r="O222" s="19"/>
      <c r="P222" s="158"/>
      <c r="Q222" s="155"/>
      <c r="R222" s="159"/>
      <c r="S222" s="155"/>
      <c r="T222" s="155"/>
      <c r="U222" s="155"/>
      <c r="V222"/>
      <c r="W222" s="155"/>
      <c r="X222" s="155"/>
      <c r="Y222" s="164"/>
    </row>
    <row r="223" spans="1:25" x14ac:dyDescent="0.25">
      <c r="A223" s="155"/>
      <c r="B223" s="156"/>
      <c r="C223" s="157"/>
      <c r="D223" s="17"/>
      <c r="E223" s="155"/>
      <c r="F223" s="25"/>
      <c r="G223" s="166"/>
      <c r="H223"/>
      <c r="I223"/>
      <c r="J223" s="160"/>
      <c r="K223" s="105"/>
      <c r="L223"/>
      <c r="M223"/>
      <c r="N223"/>
      <c r="O223" s="19"/>
      <c r="P223" s="158"/>
      <c r="Q223" s="155"/>
      <c r="R223" s="159"/>
      <c r="S223" s="155"/>
      <c r="T223" s="155"/>
      <c r="U223" s="155"/>
      <c r="V223"/>
      <c r="W223" s="155"/>
      <c r="X223" s="155"/>
      <c r="Y223" s="164"/>
    </row>
    <row r="224" spans="1:25" x14ac:dyDescent="0.25">
      <c r="A224" s="155"/>
      <c r="B224" s="156"/>
      <c r="C224" s="157"/>
      <c r="D224" s="17"/>
      <c r="E224" s="155"/>
      <c r="F224" s="25"/>
      <c r="G224" s="166"/>
      <c r="H224"/>
      <c r="I224"/>
      <c r="J224" s="160"/>
      <c r="K224" s="105"/>
      <c r="L224"/>
      <c r="M224"/>
      <c r="N224"/>
      <c r="O224" s="19"/>
      <c r="P224" s="158"/>
      <c r="Q224" s="155"/>
      <c r="R224" s="159"/>
      <c r="S224" s="155"/>
      <c r="T224" s="155"/>
      <c r="U224" s="155"/>
      <c r="V224"/>
      <c r="W224" s="155"/>
      <c r="X224" s="155"/>
      <c r="Y224" s="164"/>
    </row>
    <row r="225" spans="1:25" x14ac:dyDescent="0.25">
      <c r="A225" s="155"/>
      <c r="B225" s="156"/>
      <c r="C225" s="157"/>
      <c r="D225" s="17"/>
      <c r="E225" s="155"/>
      <c r="F225" s="25"/>
      <c r="G225" s="166"/>
      <c r="H225"/>
      <c r="I225"/>
      <c r="J225" s="160"/>
      <c r="K225" s="105"/>
      <c r="L225"/>
      <c r="M225"/>
      <c r="N225"/>
      <c r="O225" s="19"/>
      <c r="P225" s="158"/>
      <c r="Q225" s="155"/>
      <c r="R225" s="159"/>
      <c r="S225" s="155"/>
      <c r="T225" s="155"/>
      <c r="U225" s="155"/>
      <c r="V225"/>
      <c r="W225" s="155"/>
      <c r="X225" s="155"/>
      <c r="Y225" s="164"/>
    </row>
    <row r="226" spans="1:25" x14ac:dyDescent="0.25">
      <c r="A226" s="155"/>
      <c r="B226" s="156"/>
      <c r="C226" s="157"/>
      <c r="D226" s="17"/>
      <c r="E226" s="155"/>
      <c r="F226" s="25"/>
      <c r="G226" s="166"/>
      <c r="H226"/>
      <c r="I226"/>
      <c r="J226" s="160"/>
      <c r="K226" s="105"/>
      <c r="L226"/>
      <c r="M226"/>
      <c r="N226"/>
      <c r="O226" s="19"/>
      <c r="P226" s="158"/>
      <c r="Q226" s="155"/>
      <c r="R226" s="159"/>
      <c r="S226" s="155"/>
      <c r="T226" s="155"/>
      <c r="U226" s="155"/>
      <c r="V226"/>
      <c r="W226" s="155"/>
      <c r="X226" s="155"/>
      <c r="Y226" s="164"/>
    </row>
    <row r="227" spans="1:25" x14ac:dyDescent="0.25">
      <c r="A227" s="155"/>
      <c r="B227" s="156"/>
      <c r="C227" s="157"/>
      <c r="D227" s="17"/>
      <c r="E227" s="155"/>
      <c r="F227" s="25"/>
      <c r="G227" s="166"/>
      <c r="H227"/>
      <c r="I227"/>
      <c r="J227" s="160"/>
      <c r="K227" s="105"/>
      <c r="L227"/>
      <c r="M227"/>
      <c r="N227"/>
      <c r="O227" s="19"/>
      <c r="P227" s="158"/>
      <c r="Q227" s="155"/>
      <c r="R227" s="159"/>
      <c r="S227" s="155"/>
      <c r="T227" s="155"/>
      <c r="U227" s="155"/>
      <c r="V227"/>
      <c r="W227" s="155"/>
      <c r="X227" s="155"/>
      <c r="Y227" s="164"/>
    </row>
    <row r="228" spans="1:25" x14ac:dyDescent="0.25">
      <c r="A228" s="155"/>
      <c r="B228" s="156"/>
      <c r="C228" s="157"/>
      <c r="D228" s="17"/>
      <c r="E228" s="155"/>
      <c r="F228" s="25"/>
      <c r="G228" s="166"/>
      <c r="H228"/>
      <c r="I228"/>
      <c r="J228" s="160"/>
      <c r="K228" s="105"/>
      <c r="L228"/>
      <c r="M228"/>
      <c r="N228"/>
      <c r="O228" s="19"/>
      <c r="P228" s="158"/>
      <c r="Q228" s="155"/>
      <c r="R228" s="159"/>
      <c r="S228" s="155"/>
      <c r="T228" s="155"/>
      <c r="U228" s="155"/>
      <c r="V228"/>
      <c r="W228" s="155"/>
      <c r="X228" s="155"/>
      <c r="Y228" s="164"/>
    </row>
    <row r="229" spans="1:25" x14ac:dyDescent="0.25">
      <c r="A229" s="155"/>
      <c r="B229" s="156"/>
      <c r="C229" s="157"/>
      <c r="D229" s="17"/>
      <c r="E229" s="155"/>
      <c r="F229" s="25"/>
      <c r="G229" s="166"/>
      <c r="H229"/>
      <c r="I229"/>
      <c r="J229" s="160"/>
      <c r="K229" s="105"/>
      <c r="L229"/>
      <c r="M229"/>
      <c r="N229"/>
      <c r="O229" s="19"/>
      <c r="P229" s="158"/>
      <c r="Q229" s="155"/>
      <c r="R229" s="159"/>
      <c r="S229" s="155"/>
      <c r="T229" s="155"/>
      <c r="U229" s="155"/>
      <c r="V229"/>
      <c r="W229" s="155"/>
      <c r="X229" s="155"/>
      <c r="Y229" s="164"/>
    </row>
    <row r="230" spans="1:25" x14ac:dyDescent="0.25">
      <c r="A230" s="155"/>
      <c r="B230" s="156"/>
      <c r="C230" s="157"/>
      <c r="D230" s="17"/>
      <c r="E230" s="155"/>
      <c r="F230" s="25"/>
      <c r="G230" s="166"/>
      <c r="H230"/>
      <c r="I230"/>
      <c r="J230" s="160"/>
      <c r="K230" s="105"/>
      <c r="L230"/>
      <c r="M230"/>
      <c r="N230"/>
      <c r="O230" s="19"/>
      <c r="P230" s="158"/>
      <c r="Q230" s="155"/>
      <c r="R230" s="159"/>
      <c r="S230" s="155"/>
      <c r="T230" s="155"/>
      <c r="U230" s="155"/>
      <c r="V230"/>
      <c r="W230" s="155"/>
      <c r="X230" s="155"/>
      <c r="Y230" s="164"/>
    </row>
    <row r="231" spans="1:25" x14ac:dyDescent="0.25">
      <c r="A231" s="12"/>
      <c r="B231" s="13"/>
      <c r="C231" s="14"/>
      <c r="D231" s="167"/>
      <c r="E231" s="155"/>
      <c r="F231" s="25"/>
      <c r="G231" s="166"/>
      <c r="H231"/>
      <c r="I231"/>
      <c r="J231" s="160"/>
      <c r="K231" s="105"/>
      <c r="L231"/>
      <c r="M231"/>
      <c r="N231"/>
      <c r="O231" s="19"/>
      <c r="P231" s="158"/>
      <c r="Q231" s="155"/>
      <c r="R231" s="159"/>
      <c r="S231" s="155"/>
      <c r="T231" s="155"/>
      <c r="U231" s="155"/>
      <c r="V231"/>
      <c r="W231" s="155"/>
      <c r="X231" s="155"/>
      <c r="Y231" s="164"/>
    </row>
    <row r="232" spans="1:25" x14ac:dyDescent="0.25">
      <c r="A232" s="155"/>
      <c r="B232" s="156"/>
      <c r="C232" s="157"/>
      <c r="D232" s="17"/>
      <c r="E232" s="155"/>
      <c r="F232" s="25"/>
      <c r="G232" s="166"/>
      <c r="H232"/>
      <c r="I232"/>
      <c r="J232" s="160"/>
      <c r="K232" s="105"/>
      <c r="L232"/>
      <c r="M232"/>
      <c r="N232"/>
      <c r="O232" s="19"/>
      <c r="P232" s="158"/>
      <c r="Q232" s="155"/>
      <c r="R232" s="159"/>
      <c r="S232" s="155"/>
      <c r="T232" s="155"/>
      <c r="U232" s="155"/>
      <c r="V232"/>
      <c r="W232" s="155"/>
      <c r="X232" s="155"/>
      <c r="Y232" s="164"/>
    </row>
    <row r="233" spans="1:25" x14ac:dyDescent="0.25">
      <c r="A233" s="155"/>
      <c r="B233" s="156"/>
      <c r="C233" s="157"/>
      <c r="D233" s="17"/>
      <c r="E233" s="155"/>
      <c r="F233" s="25"/>
      <c r="G233" s="166"/>
      <c r="H233"/>
      <c r="I233"/>
      <c r="J233" s="160"/>
      <c r="K233" s="105"/>
      <c r="L233"/>
      <c r="M233"/>
      <c r="N233"/>
      <c r="O233" s="19"/>
      <c r="P233" s="158"/>
      <c r="Q233" s="155"/>
      <c r="R233" s="159"/>
      <c r="S233" s="155"/>
      <c r="T233" s="155"/>
      <c r="U233" s="155"/>
      <c r="V233"/>
      <c r="W233" s="155"/>
      <c r="X233" s="155"/>
      <c r="Y233" s="164"/>
    </row>
    <row r="234" spans="1:25" x14ac:dyDescent="0.25">
      <c r="A234" s="155"/>
      <c r="B234" s="156"/>
      <c r="C234" s="157"/>
      <c r="D234" s="17"/>
      <c r="E234" s="155"/>
      <c r="F234" s="25"/>
      <c r="G234" s="166"/>
      <c r="H234"/>
      <c r="I234"/>
      <c r="J234" s="160"/>
      <c r="K234" s="105"/>
      <c r="L234"/>
      <c r="M234"/>
      <c r="N234"/>
      <c r="O234" s="19"/>
      <c r="P234" s="158"/>
      <c r="Q234" s="155"/>
      <c r="R234" s="159"/>
      <c r="S234" s="155"/>
      <c r="T234" s="155"/>
      <c r="U234" s="155"/>
      <c r="V234"/>
      <c r="W234" s="155"/>
      <c r="X234" s="155"/>
      <c r="Y234" s="164"/>
    </row>
    <row r="235" spans="1:25" x14ac:dyDescent="0.25">
      <c r="A235" s="155"/>
      <c r="B235" s="156"/>
      <c r="C235" s="157"/>
      <c r="D235" s="17"/>
      <c r="E235" s="155"/>
      <c r="F235" s="25"/>
      <c r="G235" s="166"/>
      <c r="H235"/>
      <c r="I235"/>
      <c r="J235" s="160"/>
      <c r="K235" s="105"/>
      <c r="L235"/>
      <c r="M235"/>
      <c r="N235"/>
      <c r="O235" s="19"/>
      <c r="P235" s="158"/>
      <c r="Q235" s="155"/>
      <c r="R235" s="159"/>
      <c r="S235" s="155"/>
      <c r="T235" s="155"/>
      <c r="U235" s="155"/>
      <c r="V235"/>
      <c r="W235" s="155"/>
      <c r="X235" s="155"/>
      <c r="Y235" s="164"/>
    </row>
    <row r="236" spans="1:25" x14ac:dyDescent="0.25">
      <c r="A236" s="155"/>
      <c r="B236" s="156"/>
      <c r="C236" s="157"/>
      <c r="D236" s="17"/>
      <c r="E236" s="155"/>
      <c r="F236" s="25"/>
      <c r="G236" s="166"/>
      <c r="H236"/>
      <c r="I236"/>
      <c r="J236" s="160"/>
      <c r="K236" s="105"/>
      <c r="L236"/>
      <c r="M236"/>
      <c r="N236"/>
      <c r="O236" s="19"/>
      <c r="P236" s="158"/>
      <c r="Q236" s="155"/>
      <c r="R236" s="159"/>
      <c r="S236" s="155"/>
      <c r="T236" s="155"/>
      <c r="U236" s="155"/>
      <c r="V236"/>
      <c r="W236" s="155"/>
      <c r="X236" s="155"/>
      <c r="Y236" s="164"/>
    </row>
    <row r="237" spans="1:25" x14ac:dyDescent="0.25">
      <c r="A237" s="155"/>
      <c r="B237" s="156"/>
      <c r="C237" s="157"/>
      <c r="D237" s="17"/>
      <c r="E237" s="155"/>
      <c r="F237" s="25"/>
      <c r="G237" s="166"/>
      <c r="H237"/>
      <c r="I237"/>
      <c r="J237" s="160"/>
      <c r="K237" s="105"/>
      <c r="L237"/>
      <c r="M237"/>
      <c r="N237"/>
      <c r="O237" s="19"/>
      <c r="P237" s="158"/>
      <c r="Q237" s="155"/>
      <c r="R237" s="159"/>
      <c r="S237" s="155"/>
      <c r="T237" s="155"/>
      <c r="U237" s="155"/>
      <c r="V237"/>
      <c r="W237" s="155"/>
      <c r="X237" s="155"/>
      <c r="Y237" s="164"/>
    </row>
    <row r="238" spans="1:25" x14ac:dyDescent="0.25">
      <c r="A238" s="155"/>
      <c r="B238" s="156"/>
      <c r="C238" s="157"/>
      <c r="D238" s="17"/>
      <c r="E238" s="155"/>
      <c r="F238" s="25"/>
      <c r="G238" s="166"/>
      <c r="H238"/>
      <c r="I238"/>
      <c r="J238" s="160"/>
      <c r="K238" s="105"/>
      <c r="L238"/>
      <c r="M238"/>
      <c r="N238"/>
      <c r="O238" s="19"/>
      <c r="P238" s="158"/>
      <c r="Q238" s="155"/>
      <c r="R238" s="159"/>
      <c r="S238" s="155"/>
      <c r="T238" s="155"/>
      <c r="U238" s="155"/>
      <c r="V238"/>
      <c r="W238" s="155"/>
      <c r="X238" s="155"/>
      <c r="Y238" s="164"/>
    </row>
  </sheetData>
  <conditionalFormatting sqref="Q2">
    <cfRule type="expression" dxfId="406" priority="410">
      <formula>#REF!="Agencia errada"</formula>
    </cfRule>
    <cfRule type="expression" dxfId="405" priority="411">
      <formula>#REF!="Recusada"</formula>
    </cfRule>
    <cfRule type="expression" dxfId="404" priority="412">
      <formula>#REF!="Contratada"</formula>
    </cfRule>
    <cfRule type="expression" dxfId="403" priority="413">
      <formula>#REF!="Expirada"</formula>
    </cfRule>
    <cfRule type="expression" dxfId="402" priority="414">
      <formula>#REF!="Cancelada"</formula>
    </cfRule>
    <cfRule type="expression" dxfId="401" priority="415">
      <formula>#REF!="Ativa/Cliente interessado"</formula>
    </cfRule>
    <cfRule type="expression" dxfId="400" priority="416">
      <formula>#REF!="Ativa/Cliente sem contato"</formula>
    </cfRule>
    <cfRule type="expression" dxfId="399" priority="417">
      <formula>#REF! ="Ativa/Em contato com o  cliente"</formula>
    </cfRule>
  </conditionalFormatting>
  <conditionalFormatting sqref="D168">
    <cfRule type="beginsWith" dxfId="398" priority="391" operator="beginsWith" text="Sem E">
      <formula>LEFT(D168,LEN("Sem E"))="Sem E"</formula>
    </cfRule>
  </conditionalFormatting>
  <conditionalFormatting sqref="D169">
    <cfRule type="beginsWith" dxfId="397" priority="371" operator="beginsWith" text="Sem E">
      <formula>LEFT(D169,LEN("Sem E"))="Sem E"</formula>
    </cfRule>
  </conditionalFormatting>
  <conditionalFormatting sqref="D170">
    <cfRule type="beginsWith" dxfId="396" priority="370" operator="beginsWith" text="Sem E">
      <formula>LEFT(D170,LEN("Sem E"))="Sem E"</formula>
    </cfRule>
  </conditionalFormatting>
  <conditionalFormatting sqref="D171">
    <cfRule type="beginsWith" dxfId="395" priority="369" operator="beginsWith" text="Sem E">
      <formula>LEFT(D171,LEN("Sem E"))="Sem E"</formula>
    </cfRule>
  </conditionalFormatting>
  <conditionalFormatting sqref="D172">
    <cfRule type="beginsWith" dxfId="394" priority="368" operator="beginsWith" text="Sem E">
      <formula>LEFT(D172,LEN("Sem E"))="Sem E"</formula>
    </cfRule>
  </conditionalFormatting>
  <conditionalFormatting sqref="D173">
    <cfRule type="beginsWith" dxfId="393" priority="367" operator="beginsWith" text="Sem E">
      <formula>LEFT(D173,LEN("Sem E"))="Sem E"</formula>
    </cfRule>
  </conditionalFormatting>
  <conditionalFormatting sqref="D174">
    <cfRule type="beginsWith" dxfId="392" priority="366" operator="beginsWith" text="Sem E">
      <formula>LEFT(D174,LEN("Sem E"))="Sem E"</formula>
    </cfRule>
  </conditionalFormatting>
  <conditionalFormatting sqref="R2">
    <cfRule type="expression" dxfId="391" priority="358">
      <formula>#REF!="Agencia errada"</formula>
    </cfRule>
    <cfRule type="expression" dxfId="390" priority="359">
      <formula>#REF!="Recusada"</formula>
    </cfRule>
    <cfRule type="expression" dxfId="389" priority="360">
      <formula>#REF!="Contratada"</formula>
    </cfRule>
    <cfRule type="expression" dxfId="388" priority="361">
      <formula>#REF!="Expirada"</formula>
    </cfRule>
    <cfRule type="expression" dxfId="387" priority="362">
      <formula>#REF!="Cancelada"</formula>
    </cfRule>
    <cfRule type="expression" dxfId="386" priority="363">
      <formula>#REF!="Ativa/Cliente interessado"</formula>
    </cfRule>
    <cfRule type="expression" dxfId="385" priority="364">
      <formula>#REF!="Ativa/Cliente sem contato"</formula>
    </cfRule>
    <cfRule type="expression" dxfId="384" priority="365">
      <formula>#REF! ="Ativa/Em contato com o  cliente"</formula>
    </cfRule>
  </conditionalFormatting>
  <conditionalFormatting sqref="D175">
    <cfRule type="beginsWith" dxfId="383" priority="350" operator="beginsWith" text="Sem E">
      <formula>LEFT(D175,LEN("Sem E"))="Sem E"</formula>
    </cfRule>
  </conditionalFormatting>
  <conditionalFormatting sqref="D176">
    <cfRule type="beginsWith" dxfId="382" priority="349" operator="beginsWith" text="Sem E">
      <formula>LEFT(D176,LEN("Sem E"))="Sem E"</formula>
    </cfRule>
  </conditionalFormatting>
  <conditionalFormatting sqref="D177">
    <cfRule type="beginsWith" dxfId="381" priority="348" operator="beginsWith" text="Sem E">
      <formula>LEFT(D177,LEN("Sem E"))="Sem E"</formula>
    </cfRule>
  </conditionalFormatting>
  <conditionalFormatting sqref="E178">
    <cfRule type="duplicateValues" dxfId="380" priority="347"/>
  </conditionalFormatting>
  <conditionalFormatting sqref="D178">
    <cfRule type="beginsWith" dxfId="379" priority="346" operator="beginsWith" text="Sem E">
      <formula>LEFT(D178,LEN("Sem E"))="Sem E"</formula>
    </cfRule>
  </conditionalFormatting>
  <conditionalFormatting sqref="E179">
    <cfRule type="duplicateValues" dxfId="378" priority="343"/>
  </conditionalFormatting>
  <conditionalFormatting sqref="D179">
    <cfRule type="beginsWith" dxfId="377" priority="342" operator="beginsWith" text="Sem E">
      <formula>LEFT(D179,LEN("Sem E"))="Sem E"</formula>
    </cfRule>
  </conditionalFormatting>
  <conditionalFormatting sqref="E180">
    <cfRule type="duplicateValues" dxfId="376" priority="341"/>
  </conditionalFormatting>
  <conditionalFormatting sqref="D180">
    <cfRule type="beginsWith" dxfId="375" priority="340" operator="beginsWith" text="Sem E">
      <formula>LEFT(D180,LEN("Sem E"))="Sem E"</formula>
    </cfRule>
  </conditionalFormatting>
  <conditionalFormatting sqref="E181">
    <cfRule type="duplicateValues" dxfId="374" priority="339"/>
  </conditionalFormatting>
  <conditionalFormatting sqref="D181">
    <cfRule type="beginsWith" dxfId="373" priority="338" operator="beginsWith" text="Sem E">
      <formula>LEFT(D181,LEN("Sem E"))="Sem E"</formula>
    </cfRule>
  </conditionalFormatting>
  <conditionalFormatting sqref="E182">
    <cfRule type="duplicateValues" dxfId="372" priority="334"/>
  </conditionalFormatting>
  <conditionalFormatting sqref="D182">
    <cfRule type="beginsWith" dxfId="371" priority="333" operator="beginsWith" text="Sem E">
      <formula>LEFT(D182,LEN("Sem E"))="Sem E"</formula>
    </cfRule>
  </conditionalFormatting>
  <conditionalFormatting sqref="E183">
    <cfRule type="duplicateValues" dxfId="370" priority="332"/>
  </conditionalFormatting>
  <conditionalFormatting sqref="D183">
    <cfRule type="beginsWith" dxfId="369" priority="331" operator="beginsWith" text="Sem E">
      <formula>LEFT(D183,LEN("Sem E"))="Sem E"</formula>
    </cfRule>
  </conditionalFormatting>
  <conditionalFormatting sqref="E184">
    <cfRule type="duplicateValues" dxfId="368" priority="330"/>
  </conditionalFormatting>
  <conditionalFormatting sqref="D184">
    <cfRule type="beginsWith" dxfId="367" priority="329" operator="beginsWith" text="Sem E">
      <formula>LEFT(D184,LEN("Sem E"))="Sem E"</formula>
    </cfRule>
  </conditionalFormatting>
  <conditionalFormatting sqref="D185">
    <cfRule type="beginsWith" dxfId="366" priority="328" operator="beginsWith" text="Sem E">
      <formula>LEFT(D185,LEN("Sem E"))="Sem E"</formula>
    </cfRule>
  </conditionalFormatting>
  <conditionalFormatting sqref="D186">
    <cfRule type="beginsWith" dxfId="365" priority="327" operator="beginsWith" text="Sem E">
      <formula>LEFT(D186,LEN("Sem E"))="Sem E"</formula>
    </cfRule>
  </conditionalFormatting>
  <conditionalFormatting sqref="D187">
    <cfRule type="beginsWith" dxfId="364" priority="326" operator="beginsWith" text="Sem E">
      <formula>LEFT(D187,LEN("Sem E"))="Sem E"</formula>
    </cfRule>
  </conditionalFormatting>
  <conditionalFormatting sqref="D188">
    <cfRule type="beginsWith" dxfId="363" priority="325" operator="beginsWith" text="Sem E">
      <formula>LEFT(D188,LEN("Sem E"))="Sem E"</formula>
    </cfRule>
  </conditionalFormatting>
  <conditionalFormatting sqref="D189">
    <cfRule type="beginsWith" dxfId="362" priority="324" operator="beginsWith" text="Sem E">
      <formula>LEFT(D189,LEN("Sem E"))="Sem E"</formula>
    </cfRule>
  </conditionalFormatting>
  <conditionalFormatting sqref="D190">
    <cfRule type="beginsWith" dxfId="361" priority="323" operator="beginsWith" text="Sem E">
      <formula>LEFT(D190,LEN("Sem E"))="Sem E"</formula>
    </cfRule>
  </conditionalFormatting>
  <conditionalFormatting sqref="D191">
    <cfRule type="beginsWith" dxfId="360" priority="322" operator="beginsWith" text="Sem E">
      <formula>LEFT(D191,LEN("Sem E"))="Sem E"</formula>
    </cfRule>
  </conditionalFormatting>
  <conditionalFormatting sqref="D192">
    <cfRule type="beginsWith" dxfId="359" priority="321" operator="beginsWith" text="Sem E">
      <formula>LEFT(D192,LEN("Sem E"))="Sem E"</formula>
    </cfRule>
  </conditionalFormatting>
  <conditionalFormatting sqref="D193">
    <cfRule type="beginsWith" dxfId="358" priority="320" operator="beginsWith" text="Sem E">
      <formula>LEFT(D193,LEN("Sem E"))="Sem E"</formula>
    </cfRule>
  </conditionalFormatting>
  <conditionalFormatting sqref="D194">
    <cfRule type="beginsWith" dxfId="357" priority="318" operator="beginsWith" text="Sem E">
      <formula>LEFT(D194,LEN("Sem E"))="Sem E"</formula>
    </cfRule>
  </conditionalFormatting>
  <conditionalFormatting sqref="D195">
    <cfRule type="beginsWith" dxfId="356" priority="317" operator="beginsWith" text="Sem E">
      <formula>LEFT(D195,LEN("Sem E"))="Sem E"</formula>
    </cfRule>
  </conditionalFormatting>
  <conditionalFormatting sqref="D196">
    <cfRule type="beginsWith" dxfId="355" priority="316" operator="beginsWith" text="Sem E">
      <formula>LEFT(D196,LEN("Sem E"))="Sem E"</formula>
    </cfRule>
  </conditionalFormatting>
  <conditionalFormatting sqref="D198">
    <cfRule type="beginsWith" dxfId="354" priority="314" operator="beginsWith" text="Sem E">
      <formula>LEFT(D198,LEN("Sem E"))="Sem E"</formula>
    </cfRule>
  </conditionalFormatting>
  <conditionalFormatting sqref="D199">
    <cfRule type="beginsWith" dxfId="353" priority="313" operator="beginsWith" text="Sem E">
      <formula>LEFT(D199,LEN("Sem E"))="Sem E"</formula>
    </cfRule>
  </conditionalFormatting>
  <conditionalFormatting sqref="D200">
    <cfRule type="beginsWith" dxfId="352" priority="304" operator="beginsWith" text="Sem E">
      <formula>LEFT(D200,LEN("Sem E"))="Sem E"</formula>
    </cfRule>
  </conditionalFormatting>
  <conditionalFormatting sqref="D201">
    <cfRule type="beginsWith" dxfId="351" priority="303" operator="beginsWith" text="Sem E">
      <formula>LEFT(D201,LEN("Sem E"))="Sem E"</formula>
    </cfRule>
  </conditionalFormatting>
  <conditionalFormatting sqref="D202">
    <cfRule type="beginsWith" dxfId="350" priority="302" operator="beginsWith" text="Sem E">
      <formula>LEFT(D202,LEN("Sem E"))="Sem E"</formula>
    </cfRule>
  </conditionalFormatting>
  <conditionalFormatting sqref="D203">
    <cfRule type="beginsWith" dxfId="349" priority="301" operator="beginsWith" text="Sem E">
      <formula>LEFT(D203,LEN("Sem E"))="Sem E"</formula>
    </cfRule>
  </conditionalFormatting>
  <conditionalFormatting sqref="D204">
    <cfRule type="beginsWith" dxfId="348" priority="300" operator="beginsWith" text="Sem E">
      <formula>LEFT(D204,LEN("Sem E"))="Sem E"</formula>
    </cfRule>
  </conditionalFormatting>
  <conditionalFormatting sqref="D205">
    <cfRule type="beginsWith" dxfId="347" priority="299" operator="beginsWith" text="Sem E">
      <formula>LEFT(D205,LEN("Sem E"))="Sem E"</formula>
    </cfRule>
  </conditionalFormatting>
  <conditionalFormatting sqref="D206">
    <cfRule type="beginsWith" dxfId="346" priority="298" operator="beginsWith" text="Sem E">
      <formula>LEFT(D206,LEN("Sem E"))="Sem E"</formula>
    </cfRule>
  </conditionalFormatting>
  <conditionalFormatting sqref="E207">
    <cfRule type="duplicateValues" dxfId="345" priority="297"/>
  </conditionalFormatting>
  <conditionalFormatting sqref="D207">
    <cfRule type="beginsWith" dxfId="344" priority="296" operator="beginsWith" text="Sem E">
      <formula>LEFT(D207,LEN("Sem E"))="Sem E"</formula>
    </cfRule>
  </conditionalFormatting>
  <conditionalFormatting sqref="E208">
    <cfRule type="duplicateValues" dxfId="343" priority="295"/>
  </conditionalFormatting>
  <conditionalFormatting sqref="D208">
    <cfRule type="beginsWith" dxfId="342" priority="294" operator="beginsWith" text="Sem E">
      <formula>LEFT(D208,LEN("Sem E"))="Sem E"</formula>
    </cfRule>
  </conditionalFormatting>
  <conditionalFormatting sqref="E209">
    <cfRule type="duplicateValues" dxfId="341" priority="293"/>
  </conditionalFormatting>
  <conditionalFormatting sqref="D209">
    <cfRule type="beginsWith" dxfId="340" priority="292" operator="beginsWith" text="Sem E">
      <formula>LEFT(D209,LEN("Sem E"))="Sem E"</formula>
    </cfRule>
  </conditionalFormatting>
  <conditionalFormatting sqref="E210">
    <cfRule type="duplicateValues" dxfId="339" priority="291"/>
  </conditionalFormatting>
  <conditionalFormatting sqref="D210">
    <cfRule type="beginsWith" dxfId="338" priority="290" operator="beginsWith" text="Sem E">
      <formula>LEFT(D210,LEN("Sem E"))="Sem E"</formula>
    </cfRule>
  </conditionalFormatting>
  <conditionalFormatting sqref="E211">
    <cfRule type="duplicateValues" dxfId="337" priority="289"/>
  </conditionalFormatting>
  <conditionalFormatting sqref="D211">
    <cfRule type="beginsWith" dxfId="336" priority="288" operator="beginsWith" text="Sem E">
      <formula>LEFT(D211,LEN("Sem E"))="Sem E"</formula>
    </cfRule>
  </conditionalFormatting>
  <conditionalFormatting sqref="E212">
    <cfRule type="duplicateValues" dxfId="335" priority="287"/>
  </conditionalFormatting>
  <conditionalFormatting sqref="D212">
    <cfRule type="beginsWith" dxfId="334" priority="286" operator="beginsWith" text="Sem E">
      <formula>LEFT(D212,LEN("Sem E"))="Sem E"</formula>
    </cfRule>
  </conditionalFormatting>
  <conditionalFormatting sqref="E213">
    <cfRule type="duplicateValues" dxfId="333" priority="285"/>
  </conditionalFormatting>
  <conditionalFormatting sqref="D213">
    <cfRule type="beginsWith" dxfId="332" priority="284" operator="beginsWith" text="Sem E">
      <formula>LEFT(D213,LEN("Sem E"))="Sem E"</formula>
    </cfRule>
  </conditionalFormatting>
  <conditionalFormatting sqref="E214">
    <cfRule type="duplicateValues" dxfId="331" priority="283"/>
  </conditionalFormatting>
  <conditionalFormatting sqref="D214">
    <cfRule type="beginsWith" dxfId="330" priority="282" operator="beginsWith" text="Sem E">
      <formula>LEFT(D214,LEN("Sem E"))="Sem E"</formula>
    </cfRule>
  </conditionalFormatting>
  <conditionalFormatting sqref="E215">
    <cfRule type="duplicateValues" dxfId="329" priority="281"/>
  </conditionalFormatting>
  <conditionalFormatting sqref="D215">
    <cfRule type="beginsWith" dxfId="328" priority="280" operator="beginsWith" text="Sem E">
      <formula>LEFT(D215,LEN("Sem E"))="Sem E"</formula>
    </cfRule>
  </conditionalFormatting>
  <conditionalFormatting sqref="E216">
    <cfRule type="duplicateValues" dxfId="327" priority="279"/>
  </conditionalFormatting>
  <conditionalFormatting sqref="D216">
    <cfRule type="beginsWith" dxfId="326" priority="278" operator="beginsWith" text="Sem E">
      <formula>LEFT(D216,LEN("Sem E"))="Sem E"</formula>
    </cfRule>
  </conditionalFormatting>
  <conditionalFormatting sqref="E217">
    <cfRule type="duplicateValues" dxfId="325" priority="277"/>
  </conditionalFormatting>
  <conditionalFormatting sqref="D217">
    <cfRule type="beginsWith" dxfId="324" priority="276" operator="beginsWith" text="Sem E">
      <formula>LEFT(D217,LEN("Sem E"))="Sem E"</formula>
    </cfRule>
  </conditionalFormatting>
  <conditionalFormatting sqref="E218">
    <cfRule type="duplicateValues" dxfId="323" priority="275"/>
  </conditionalFormatting>
  <conditionalFormatting sqref="D218">
    <cfRule type="beginsWith" dxfId="322" priority="274" operator="beginsWith" text="Sem E">
      <formula>LEFT(D218,LEN("Sem E"))="Sem E"</formula>
    </cfRule>
  </conditionalFormatting>
  <conditionalFormatting sqref="E219">
    <cfRule type="duplicateValues" dxfId="321" priority="273"/>
  </conditionalFormatting>
  <conditionalFormatting sqref="D219">
    <cfRule type="beginsWith" dxfId="320" priority="272" operator="beginsWith" text="Sem E">
      <formula>LEFT(D219,LEN("Sem E"))="Sem E"</formula>
    </cfRule>
  </conditionalFormatting>
  <conditionalFormatting sqref="E220">
    <cfRule type="duplicateValues" dxfId="319" priority="271"/>
  </conditionalFormatting>
  <conditionalFormatting sqref="D220">
    <cfRule type="beginsWith" dxfId="318" priority="270" operator="beginsWith" text="Sem E">
      <formula>LEFT(D220,LEN("Sem E"))="Sem E"</formula>
    </cfRule>
  </conditionalFormatting>
  <conditionalFormatting sqref="E221">
    <cfRule type="duplicateValues" dxfId="317" priority="269"/>
  </conditionalFormatting>
  <conditionalFormatting sqref="D221">
    <cfRule type="beginsWith" dxfId="316" priority="268" operator="beginsWith" text="Sem E">
      <formula>LEFT(D221,LEN("Sem E"))="Sem E"</formula>
    </cfRule>
  </conditionalFormatting>
  <conditionalFormatting sqref="E222">
    <cfRule type="duplicateValues" dxfId="315" priority="267"/>
  </conditionalFormatting>
  <conditionalFormatting sqref="D222">
    <cfRule type="beginsWith" dxfId="314" priority="266" operator="beginsWith" text="Sem E">
      <formula>LEFT(D222,LEN("Sem E"))="Sem E"</formula>
    </cfRule>
  </conditionalFormatting>
  <conditionalFormatting sqref="E223">
    <cfRule type="duplicateValues" dxfId="313" priority="265"/>
  </conditionalFormatting>
  <conditionalFormatting sqref="D223">
    <cfRule type="beginsWith" dxfId="312" priority="264" operator="beginsWith" text="Sem E">
      <formula>LEFT(D223,LEN("Sem E"))="Sem E"</formula>
    </cfRule>
  </conditionalFormatting>
  <conditionalFormatting sqref="E224">
    <cfRule type="duplicateValues" dxfId="311" priority="263"/>
  </conditionalFormatting>
  <conditionalFormatting sqref="D224">
    <cfRule type="beginsWith" dxfId="310" priority="262" operator="beginsWith" text="Sem E">
      <formula>LEFT(D224,LEN("Sem E"))="Sem E"</formula>
    </cfRule>
  </conditionalFormatting>
  <conditionalFormatting sqref="E225">
    <cfRule type="duplicateValues" dxfId="309" priority="261"/>
  </conditionalFormatting>
  <conditionalFormatting sqref="D225">
    <cfRule type="beginsWith" dxfId="308" priority="260" operator="beginsWith" text="Sem E">
      <formula>LEFT(D225,LEN("Sem E"))="Sem E"</formula>
    </cfRule>
  </conditionalFormatting>
  <conditionalFormatting sqref="E226">
    <cfRule type="duplicateValues" dxfId="307" priority="259"/>
  </conditionalFormatting>
  <conditionalFormatting sqref="D226">
    <cfRule type="beginsWith" dxfId="306" priority="258" operator="beginsWith" text="Sem E">
      <formula>LEFT(D226,LEN("Sem E"))="Sem E"</formula>
    </cfRule>
  </conditionalFormatting>
  <conditionalFormatting sqref="V226">
    <cfRule type="beginsWith" dxfId="305" priority="253" operator="beginsWith" text="Recus">
      <formula>LEFT(V226,LEN("Recus"))="Recus"</formula>
    </cfRule>
    <cfRule type="beginsWith" dxfId="304" priority="254" operator="beginsWith" text="Env">
      <formula>LEFT(V226,LEN("Env"))="Env"</formula>
    </cfRule>
    <cfRule type="beginsWith" dxfId="303" priority="255" operator="beginsWith" text="Em Nego">
      <formula>LEFT(V226,LEN("Em Nego"))="Em Nego"</formula>
    </cfRule>
    <cfRule type="beginsWith" dxfId="302" priority="256" operator="beginsWith" text="Canc">
      <formula>LEFT(V226,LEN("Canc"))="Canc"</formula>
    </cfRule>
    <cfRule type="beginsWith" dxfId="301" priority="257" operator="beginsWith" text="Exp">
      <formula>LEFT(V226,LEN("Exp"))="Exp"</formula>
    </cfRule>
  </conditionalFormatting>
  <conditionalFormatting sqref="V226">
    <cfRule type="beginsWith" dxfId="300" priority="251" operator="beginsWith" text="Canc">
      <formula>LEFT(V226,LEN("Canc"))="Canc"</formula>
    </cfRule>
    <cfRule type="beginsWith" dxfId="299" priority="252" operator="beginsWith" text="Exp">
      <formula>LEFT(V226,LEN("Exp"))="Exp"</formula>
    </cfRule>
  </conditionalFormatting>
  <conditionalFormatting sqref="V226">
    <cfRule type="beginsWith" dxfId="298" priority="247" operator="beginsWith" text="rece">
      <formula>LEFT(V226,LEN("rece"))="rece"</formula>
    </cfRule>
    <cfRule type="beginsWith" dxfId="297" priority="248" operator="beginsWith" text="Recus">
      <formula>LEFT(V226,LEN("Recus"))="Recus"</formula>
    </cfRule>
    <cfRule type="beginsWith" dxfId="296" priority="249" operator="beginsWith" text="Env">
      <formula>LEFT(V226,LEN("Env"))="Env"</formula>
    </cfRule>
    <cfRule type="beginsWith" dxfId="295" priority="250" operator="beginsWith" text="rece">
      <formula>LEFT(V226,LEN("rece"))="rece"</formula>
    </cfRule>
  </conditionalFormatting>
  <conditionalFormatting sqref="V226">
    <cfRule type="endsWith" dxfId="294" priority="246" operator="endsWith" text="lise">
      <formula>RIGHT(V226,LEN("lise"))="lise"</formula>
    </cfRule>
  </conditionalFormatting>
  <conditionalFormatting sqref="V226">
    <cfRule type="beginsWith" dxfId="293" priority="245" operator="beginsWith" text="Recus">
      <formula>LEFT(V226,LEN("Recus"))="Recus"</formula>
    </cfRule>
  </conditionalFormatting>
  <conditionalFormatting sqref="V226">
    <cfRule type="beginsWith" dxfId="292" priority="241" operator="beginsWith" text="Recus">
      <formula>LEFT(V226,LEN("Recus"))="Recus"</formula>
    </cfRule>
    <cfRule type="endsWith" dxfId="291" priority="242" operator="endsWith" text="lise">
      <formula>RIGHT(V226,LEN("lise"))="lise"</formula>
    </cfRule>
    <cfRule type="beginsWith" dxfId="290" priority="243" operator="beginsWith" text="rece">
      <formula>LEFT(V226,LEN("rece"))="rece"</formula>
    </cfRule>
    <cfRule type="beginsWith" dxfId="289" priority="244" operator="beginsWith" text="Env">
      <formula>LEFT(V226,LEN("Env"))="Env"</formula>
    </cfRule>
  </conditionalFormatting>
  <conditionalFormatting sqref="E227">
    <cfRule type="duplicateValues" dxfId="288" priority="240"/>
  </conditionalFormatting>
  <conditionalFormatting sqref="D227">
    <cfRule type="beginsWith" dxfId="287" priority="239" operator="beginsWith" text="Sem E">
      <formula>LEFT(D227,LEN("Sem E"))="Sem E"</formula>
    </cfRule>
  </conditionalFormatting>
  <conditionalFormatting sqref="G227">
    <cfRule type="duplicateValues" dxfId="286" priority="238"/>
  </conditionalFormatting>
  <conditionalFormatting sqref="V227">
    <cfRule type="beginsWith" dxfId="285" priority="233" operator="beginsWith" text="Recus">
      <formula>LEFT(V227,LEN("Recus"))="Recus"</formula>
    </cfRule>
    <cfRule type="beginsWith" dxfId="284" priority="234" operator="beginsWith" text="Env">
      <formula>LEFT(V227,LEN("Env"))="Env"</formula>
    </cfRule>
    <cfRule type="beginsWith" dxfId="283" priority="235" operator="beginsWith" text="Em Nego">
      <formula>LEFT(V227,LEN("Em Nego"))="Em Nego"</formula>
    </cfRule>
    <cfRule type="beginsWith" dxfId="282" priority="236" operator="beginsWith" text="Canc">
      <formula>LEFT(V227,LEN("Canc"))="Canc"</formula>
    </cfRule>
    <cfRule type="beginsWith" dxfId="281" priority="237" operator="beginsWith" text="Exp">
      <formula>LEFT(V227,LEN("Exp"))="Exp"</formula>
    </cfRule>
  </conditionalFormatting>
  <conditionalFormatting sqref="V227">
    <cfRule type="beginsWith" dxfId="280" priority="231" operator="beginsWith" text="Canc">
      <formula>LEFT(V227,LEN("Canc"))="Canc"</formula>
    </cfRule>
    <cfRule type="beginsWith" dxfId="279" priority="232" operator="beginsWith" text="Exp">
      <formula>LEFT(V227,LEN("Exp"))="Exp"</formula>
    </cfRule>
  </conditionalFormatting>
  <conditionalFormatting sqref="V227">
    <cfRule type="beginsWith" dxfId="278" priority="227" operator="beginsWith" text="rece">
      <formula>LEFT(V227,LEN("rece"))="rece"</formula>
    </cfRule>
    <cfRule type="beginsWith" dxfId="277" priority="228" operator="beginsWith" text="Recus">
      <formula>LEFT(V227,LEN("Recus"))="Recus"</formula>
    </cfRule>
    <cfRule type="beginsWith" dxfId="276" priority="229" operator="beginsWith" text="Env">
      <formula>LEFT(V227,LEN("Env"))="Env"</formula>
    </cfRule>
    <cfRule type="beginsWith" dxfId="275" priority="230" operator="beginsWith" text="rece">
      <formula>LEFT(V227,LEN("rece"))="rece"</formula>
    </cfRule>
  </conditionalFormatting>
  <conditionalFormatting sqref="V227">
    <cfRule type="endsWith" dxfId="274" priority="226" operator="endsWith" text="lise">
      <formula>RIGHT(V227,LEN("lise"))="lise"</formula>
    </cfRule>
  </conditionalFormatting>
  <conditionalFormatting sqref="V227">
    <cfRule type="beginsWith" dxfId="273" priority="225" operator="beginsWith" text="Recus">
      <formula>LEFT(V227,LEN("Recus"))="Recus"</formula>
    </cfRule>
  </conditionalFormatting>
  <conditionalFormatting sqref="V227">
    <cfRule type="beginsWith" dxfId="272" priority="221" operator="beginsWith" text="Recus">
      <formula>LEFT(V227,LEN("Recus"))="Recus"</formula>
    </cfRule>
    <cfRule type="endsWith" dxfId="271" priority="222" operator="endsWith" text="lise">
      <formula>RIGHT(V227,LEN("lise"))="lise"</formula>
    </cfRule>
    <cfRule type="beginsWith" dxfId="270" priority="223" operator="beginsWith" text="rece">
      <formula>LEFT(V227,LEN("rece"))="rece"</formula>
    </cfRule>
    <cfRule type="beginsWith" dxfId="269" priority="224" operator="beginsWith" text="Env">
      <formula>LEFT(V227,LEN("Env"))="Env"</formula>
    </cfRule>
  </conditionalFormatting>
  <conditionalFormatting sqref="E228">
    <cfRule type="duplicateValues" dxfId="268" priority="220"/>
  </conditionalFormatting>
  <conditionalFormatting sqref="D228">
    <cfRule type="beginsWith" dxfId="267" priority="219" operator="beginsWith" text="Sem E">
      <formula>LEFT(D228,LEN("Sem E"))="Sem E"</formula>
    </cfRule>
  </conditionalFormatting>
  <conditionalFormatting sqref="G228">
    <cfRule type="duplicateValues" dxfId="266" priority="218"/>
  </conditionalFormatting>
  <conditionalFormatting sqref="V228">
    <cfRule type="beginsWith" dxfId="265" priority="213" operator="beginsWith" text="Recus">
      <formula>LEFT(V228,LEN("Recus"))="Recus"</formula>
    </cfRule>
    <cfRule type="beginsWith" dxfId="264" priority="214" operator="beginsWith" text="Env">
      <formula>LEFT(V228,LEN("Env"))="Env"</formula>
    </cfRule>
    <cfRule type="beginsWith" dxfId="263" priority="215" operator="beginsWith" text="Em Nego">
      <formula>LEFT(V228,LEN("Em Nego"))="Em Nego"</formula>
    </cfRule>
    <cfRule type="beginsWith" dxfId="262" priority="216" operator="beginsWith" text="Canc">
      <formula>LEFT(V228,LEN("Canc"))="Canc"</formula>
    </cfRule>
    <cfRule type="beginsWith" dxfId="261" priority="217" operator="beginsWith" text="Exp">
      <formula>LEFT(V228,LEN("Exp"))="Exp"</formula>
    </cfRule>
  </conditionalFormatting>
  <conditionalFormatting sqref="V228">
    <cfRule type="beginsWith" dxfId="260" priority="211" operator="beginsWith" text="Canc">
      <formula>LEFT(V228,LEN("Canc"))="Canc"</formula>
    </cfRule>
    <cfRule type="beginsWith" dxfId="259" priority="212" operator="beginsWith" text="Exp">
      <formula>LEFT(V228,LEN("Exp"))="Exp"</formula>
    </cfRule>
  </conditionalFormatting>
  <conditionalFormatting sqref="V228">
    <cfRule type="beginsWith" dxfId="258" priority="207" operator="beginsWith" text="rece">
      <formula>LEFT(V228,LEN("rece"))="rece"</formula>
    </cfRule>
    <cfRule type="beginsWith" dxfId="257" priority="208" operator="beginsWith" text="Recus">
      <formula>LEFT(V228,LEN("Recus"))="Recus"</formula>
    </cfRule>
    <cfRule type="beginsWith" dxfId="256" priority="209" operator="beginsWith" text="Env">
      <formula>LEFT(V228,LEN("Env"))="Env"</formula>
    </cfRule>
    <cfRule type="beginsWith" dxfId="255" priority="210" operator="beginsWith" text="rece">
      <formula>LEFT(V228,LEN("rece"))="rece"</formula>
    </cfRule>
  </conditionalFormatting>
  <conditionalFormatting sqref="V228">
    <cfRule type="endsWith" dxfId="254" priority="206" operator="endsWith" text="lise">
      <formula>RIGHT(V228,LEN("lise"))="lise"</formula>
    </cfRule>
  </conditionalFormatting>
  <conditionalFormatting sqref="V228">
    <cfRule type="beginsWith" dxfId="253" priority="205" operator="beginsWith" text="Recus">
      <formula>LEFT(V228,LEN("Recus"))="Recus"</formula>
    </cfRule>
  </conditionalFormatting>
  <conditionalFormatting sqref="V228">
    <cfRule type="beginsWith" dxfId="252" priority="201" operator="beginsWith" text="Recus">
      <formula>LEFT(V228,LEN("Recus"))="Recus"</formula>
    </cfRule>
    <cfRule type="endsWith" dxfId="251" priority="202" operator="endsWith" text="lise">
      <formula>RIGHT(V228,LEN("lise"))="lise"</formula>
    </cfRule>
    <cfRule type="beginsWith" dxfId="250" priority="203" operator="beginsWith" text="rece">
      <formula>LEFT(V228,LEN("rece"))="rece"</formula>
    </cfRule>
    <cfRule type="beginsWith" dxfId="249" priority="204" operator="beginsWith" text="Env">
      <formula>LEFT(V228,LEN("Env"))="Env"</formula>
    </cfRule>
  </conditionalFormatting>
  <conditionalFormatting sqref="E229">
    <cfRule type="duplicateValues" dxfId="248" priority="200"/>
  </conditionalFormatting>
  <conditionalFormatting sqref="D229">
    <cfRule type="beginsWith" dxfId="247" priority="199" operator="beginsWith" text="Sem E">
      <formula>LEFT(D229,LEN("Sem E"))="Sem E"</formula>
    </cfRule>
  </conditionalFormatting>
  <conditionalFormatting sqref="G229">
    <cfRule type="duplicateValues" dxfId="246" priority="198"/>
  </conditionalFormatting>
  <conditionalFormatting sqref="V229">
    <cfRule type="beginsWith" dxfId="245" priority="193" operator="beginsWith" text="Recus">
      <formula>LEFT(V229,LEN("Recus"))="Recus"</formula>
    </cfRule>
    <cfRule type="beginsWith" dxfId="244" priority="194" operator="beginsWith" text="Env">
      <formula>LEFT(V229,LEN("Env"))="Env"</formula>
    </cfRule>
    <cfRule type="beginsWith" dxfId="243" priority="195" operator="beginsWith" text="Em Nego">
      <formula>LEFT(V229,LEN("Em Nego"))="Em Nego"</formula>
    </cfRule>
    <cfRule type="beginsWith" dxfId="242" priority="196" operator="beginsWith" text="Canc">
      <formula>LEFT(V229,LEN("Canc"))="Canc"</formula>
    </cfRule>
    <cfRule type="beginsWith" dxfId="241" priority="197" operator="beginsWith" text="Exp">
      <formula>LEFT(V229,LEN("Exp"))="Exp"</formula>
    </cfRule>
  </conditionalFormatting>
  <conditionalFormatting sqref="V229">
    <cfRule type="beginsWith" dxfId="240" priority="191" operator="beginsWith" text="Canc">
      <formula>LEFT(V229,LEN("Canc"))="Canc"</formula>
    </cfRule>
    <cfRule type="beginsWith" dxfId="239" priority="192" operator="beginsWith" text="Exp">
      <formula>LEFT(V229,LEN("Exp"))="Exp"</formula>
    </cfRule>
  </conditionalFormatting>
  <conditionalFormatting sqref="V229">
    <cfRule type="beginsWith" dxfId="238" priority="187" operator="beginsWith" text="rece">
      <formula>LEFT(V229,LEN("rece"))="rece"</formula>
    </cfRule>
    <cfRule type="beginsWith" dxfId="237" priority="188" operator="beginsWith" text="Recus">
      <formula>LEFT(V229,LEN("Recus"))="Recus"</formula>
    </cfRule>
    <cfRule type="beginsWith" dxfId="236" priority="189" operator="beginsWith" text="Env">
      <formula>LEFT(V229,LEN("Env"))="Env"</formula>
    </cfRule>
    <cfRule type="beginsWith" dxfId="235" priority="190" operator="beginsWith" text="rece">
      <formula>LEFT(V229,LEN("rece"))="rece"</formula>
    </cfRule>
  </conditionalFormatting>
  <conditionalFormatting sqref="V229">
    <cfRule type="endsWith" dxfId="234" priority="186" operator="endsWith" text="lise">
      <formula>RIGHT(V229,LEN("lise"))="lise"</formula>
    </cfRule>
  </conditionalFormatting>
  <conditionalFormatting sqref="V229">
    <cfRule type="beginsWith" dxfId="233" priority="185" operator="beginsWith" text="Recus">
      <formula>LEFT(V229,LEN("Recus"))="Recus"</formula>
    </cfRule>
  </conditionalFormatting>
  <conditionalFormatting sqref="V229">
    <cfRule type="beginsWith" dxfId="232" priority="181" operator="beginsWith" text="Recus">
      <formula>LEFT(V229,LEN("Recus"))="Recus"</formula>
    </cfRule>
    <cfRule type="endsWith" dxfId="231" priority="182" operator="endsWith" text="lise">
      <formula>RIGHT(V229,LEN("lise"))="lise"</formula>
    </cfRule>
    <cfRule type="beginsWith" dxfId="230" priority="183" operator="beginsWith" text="rece">
      <formula>LEFT(V229,LEN("rece"))="rece"</formula>
    </cfRule>
    <cfRule type="beginsWith" dxfId="229" priority="184" operator="beginsWith" text="Env">
      <formula>LEFT(V229,LEN("Env"))="Env"</formula>
    </cfRule>
  </conditionalFormatting>
  <conditionalFormatting sqref="E230">
    <cfRule type="duplicateValues" dxfId="228" priority="180"/>
  </conditionalFormatting>
  <conditionalFormatting sqref="D230">
    <cfRule type="beginsWith" dxfId="227" priority="179" operator="beginsWith" text="Sem E">
      <formula>LEFT(D230,LEN("Sem E"))="Sem E"</formula>
    </cfRule>
  </conditionalFormatting>
  <conditionalFormatting sqref="G230">
    <cfRule type="duplicateValues" dxfId="226" priority="178"/>
  </conditionalFormatting>
  <conditionalFormatting sqref="V230">
    <cfRule type="beginsWith" dxfId="225" priority="173" operator="beginsWith" text="Recus">
      <formula>LEFT(V230,LEN("Recus"))="Recus"</formula>
    </cfRule>
    <cfRule type="beginsWith" dxfId="224" priority="174" operator="beginsWith" text="Env">
      <formula>LEFT(V230,LEN("Env"))="Env"</formula>
    </cfRule>
    <cfRule type="beginsWith" dxfId="223" priority="175" operator="beginsWith" text="Em Nego">
      <formula>LEFT(V230,LEN("Em Nego"))="Em Nego"</formula>
    </cfRule>
    <cfRule type="beginsWith" dxfId="222" priority="176" operator="beginsWith" text="Canc">
      <formula>LEFT(V230,LEN("Canc"))="Canc"</formula>
    </cfRule>
    <cfRule type="beginsWith" dxfId="221" priority="177" operator="beginsWith" text="Exp">
      <formula>LEFT(V230,LEN("Exp"))="Exp"</formula>
    </cfRule>
  </conditionalFormatting>
  <conditionalFormatting sqref="V230">
    <cfRule type="beginsWith" dxfId="220" priority="171" operator="beginsWith" text="Canc">
      <formula>LEFT(V230,LEN("Canc"))="Canc"</formula>
    </cfRule>
    <cfRule type="beginsWith" dxfId="219" priority="172" operator="beginsWith" text="Exp">
      <formula>LEFT(V230,LEN("Exp"))="Exp"</formula>
    </cfRule>
  </conditionalFormatting>
  <conditionalFormatting sqref="V230">
    <cfRule type="beginsWith" dxfId="218" priority="167" operator="beginsWith" text="rece">
      <formula>LEFT(V230,LEN("rece"))="rece"</formula>
    </cfRule>
    <cfRule type="beginsWith" dxfId="217" priority="168" operator="beginsWith" text="Recus">
      <formula>LEFT(V230,LEN("Recus"))="Recus"</formula>
    </cfRule>
    <cfRule type="beginsWith" dxfId="216" priority="169" operator="beginsWith" text="Env">
      <formula>LEFT(V230,LEN("Env"))="Env"</formula>
    </cfRule>
    <cfRule type="beginsWith" dxfId="215" priority="170" operator="beginsWith" text="rece">
      <formula>LEFT(V230,LEN("rece"))="rece"</formula>
    </cfRule>
  </conditionalFormatting>
  <conditionalFormatting sqref="V230">
    <cfRule type="endsWith" dxfId="214" priority="166" operator="endsWith" text="lise">
      <formula>RIGHT(V230,LEN("lise"))="lise"</formula>
    </cfRule>
  </conditionalFormatting>
  <conditionalFormatting sqref="V230">
    <cfRule type="beginsWith" dxfId="213" priority="165" operator="beginsWith" text="Recus">
      <formula>LEFT(V230,LEN("Recus"))="Recus"</formula>
    </cfRule>
  </conditionalFormatting>
  <conditionalFormatting sqref="V230">
    <cfRule type="beginsWith" dxfId="212" priority="161" operator="beginsWith" text="Recus">
      <formula>LEFT(V230,LEN("Recus"))="Recus"</formula>
    </cfRule>
    <cfRule type="endsWith" dxfId="211" priority="162" operator="endsWith" text="lise">
      <formula>RIGHT(V230,LEN("lise"))="lise"</formula>
    </cfRule>
    <cfRule type="beginsWith" dxfId="210" priority="163" operator="beginsWith" text="rece">
      <formula>LEFT(V230,LEN("rece"))="rece"</formula>
    </cfRule>
    <cfRule type="beginsWith" dxfId="209" priority="164" operator="beginsWith" text="Env">
      <formula>LEFT(V230,LEN("Env"))="Env"</formula>
    </cfRule>
  </conditionalFormatting>
  <conditionalFormatting sqref="E231">
    <cfRule type="duplicateValues" dxfId="208" priority="160"/>
  </conditionalFormatting>
  <conditionalFormatting sqref="G231">
    <cfRule type="duplicateValues" dxfId="207" priority="158"/>
  </conditionalFormatting>
  <conditionalFormatting sqref="V231">
    <cfRule type="beginsWith" dxfId="206" priority="153" operator="beginsWith" text="Recus">
      <formula>LEFT(V231,LEN("Recus"))="Recus"</formula>
    </cfRule>
    <cfRule type="beginsWith" dxfId="205" priority="154" operator="beginsWith" text="Env">
      <formula>LEFT(V231,LEN("Env"))="Env"</formula>
    </cfRule>
    <cfRule type="beginsWith" dxfId="204" priority="155" operator="beginsWith" text="Em Nego">
      <formula>LEFT(V231,LEN("Em Nego"))="Em Nego"</formula>
    </cfRule>
    <cfRule type="beginsWith" dxfId="203" priority="156" operator="beginsWith" text="Canc">
      <formula>LEFT(V231,LEN("Canc"))="Canc"</formula>
    </cfRule>
    <cfRule type="beginsWith" dxfId="202" priority="157" operator="beginsWith" text="Exp">
      <formula>LEFT(V231,LEN("Exp"))="Exp"</formula>
    </cfRule>
  </conditionalFormatting>
  <conditionalFormatting sqref="V231">
    <cfRule type="beginsWith" dxfId="201" priority="151" operator="beginsWith" text="Canc">
      <formula>LEFT(V231,LEN("Canc"))="Canc"</formula>
    </cfRule>
    <cfRule type="beginsWith" dxfId="200" priority="152" operator="beginsWith" text="Exp">
      <formula>LEFT(V231,LEN("Exp"))="Exp"</formula>
    </cfRule>
  </conditionalFormatting>
  <conditionalFormatting sqref="V231">
    <cfRule type="beginsWith" dxfId="199" priority="147" operator="beginsWith" text="rece">
      <formula>LEFT(V231,LEN("rece"))="rece"</formula>
    </cfRule>
    <cfRule type="beginsWith" dxfId="198" priority="148" operator="beginsWith" text="Recus">
      <formula>LEFT(V231,LEN("Recus"))="Recus"</formula>
    </cfRule>
    <cfRule type="beginsWith" dxfId="197" priority="149" operator="beginsWith" text="Env">
      <formula>LEFT(V231,LEN("Env"))="Env"</formula>
    </cfRule>
    <cfRule type="beginsWith" dxfId="196" priority="150" operator="beginsWith" text="rece">
      <formula>LEFT(V231,LEN("rece"))="rece"</formula>
    </cfRule>
  </conditionalFormatting>
  <conditionalFormatting sqref="V231">
    <cfRule type="endsWith" dxfId="195" priority="146" operator="endsWith" text="lise">
      <formula>RIGHT(V231,LEN("lise"))="lise"</formula>
    </cfRule>
  </conditionalFormatting>
  <conditionalFormatting sqref="V231">
    <cfRule type="beginsWith" dxfId="194" priority="145" operator="beginsWith" text="Recus">
      <formula>LEFT(V231,LEN("Recus"))="Recus"</formula>
    </cfRule>
  </conditionalFormatting>
  <conditionalFormatting sqref="V231">
    <cfRule type="beginsWith" dxfId="193" priority="141" operator="beginsWith" text="Recus">
      <formula>LEFT(V231,LEN("Recus"))="Recus"</formula>
    </cfRule>
    <cfRule type="endsWith" dxfId="192" priority="142" operator="endsWith" text="lise">
      <formula>RIGHT(V231,LEN("lise"))="lise"</formula>
    </cfRule>
    <cfRule type="beginsWith" dxfId="191" priority="143" operator="beginsWith" text="rece">
      <formula>LEFT(V231,LEN("rece"))="rece"</formula>
    </cfRule>
    <cfRule type="beginsWith" dxfId="190" priority="144" operator="beginsWith" text="Env">
      <formula>LEFT(V231,LEN("Env"))="Env"</formula>
    </cfRule>
  </conditionalFormatting>
  <conditionalFormatting sqref="E232">
    <cfRule type="duplicateValues" dxfId="189" priority="140"/>
  </conditionalFormatting>
  <conditionalFormatting sqref="D232">
    <cfRule type="beginsWith" dxfId="188" priority="139" operator="beginsWith" text="Sem E">
      <formula>LEFT(D232,LEN("Sem E"))="Sem E"</formula>
    </cfRule>
  </conditionalFormatting>
  <conditionalFormatting sqref="G232">
    <cfRule type="duplicateValues" dxfId="187" priority="138"/>
  </conditionalFormatting>
  <conditionalFormatting sqref="V232">
    <cfRule type="beginsWith" dxfId="186" priority="133" operator="beginsWith" text="Recus">
      <formula>LEFT(V232,LEN("Recus"))="Recus"</formula>
    </cfRule>
    <cfRule type="beginsWith" dxfId="185" priority="134" operator="beginsWith" text="Env">
      <formula>LEFT(V232,LEN("Env"))="Env"</formula>
    </cfRule>
    <cfRule type="beginsWith" dxfId="184" priority="135" operator="beginsWith" text="Em Nego">
      <formula>LEFT(V232,LEN("Em Nego"))="Em Nego"</formula>
    </cfRule>
    <cfRule type="beginsWith" dxfId="183" priority="136" operator="beginsWith" text="Canc">
      <formula>LEFT(V232,LEN("Canc"))="Canc"</formula>
    </cfRule>
    <cfRule type="beginsWith" dxfId="182" priority="137" operator="beginsWith" text="Exp">
      <formula>LEFT(V232,LEN("Exp"))="Exp"</formula>
    </cfRule>
  </conditionalFormatting>
  <conditionalFormatting sqref="V232">
    <cfRule type="beginsWith" dxfId="181" priority="131" operator="beginsWith" text="Canc">
      <formula>LEFT(V232,LEN("Canc"))="Canc"</formula>
    </cfRule>
    <cfRule type="beginsWith" dxfId="180" priority="132" operator="beginsWith" text="Exp">
      <formula>LEFT(V232,LEN("Exp"))="Exp"</formula>
    </cfRule>
  </conditionalFormatting>
  <conditionalFormatting sqref="V232">
    <cfRule type="beginsWith" dxfId="179" priority="127" operator="beginsWith" text="rece">
      <formula>LEFT(V232,LEN("rece"))="rece"</formula>
    </cfRule>
    <cfRule type="beginsWith" dxfId="178" priority="128" operator="beginsWith" text="Recus">
      <formula>LEFT(V232,LEN("Recus"))="Recus"</formula>
    </cfRule>
    <cfRule type="beginsWith" dxfId="177" priority="129" operator="beginsWith" text="Env">
      <formula>LEFT(V232,LEN("Env"))="Env"</formula>
    </cfRule>
    <cfRule type="beginsWith" dxfId="176" priority="130" operator="beginsWith" text="rece">
      <formula>LEFT(V232,LEN("rece"))="rece"</formula>
    </cfRule>
  </conditionalFormatting>
  <conditionalFormatting sqref="V232">
    <cfRule type="endsWith" dxfId="175" priority="126" operator="endsWith" text="lise">
      <formula>RIGHT(V232,LEN("lise"))="lise"</formula>
    </cfRule>
  </conditionalFormatting>
  <conditionalFormatting sqref="V232">
    <cfRule type="beginsWith" dxfId="174" priority="125" operator="beginsWith" text="Recus">
      <formula>LEFT(V232,LEN("Recus"))="Recus"</formula>
    </cfRule>
  </conditionalFormatting>
  <conditionalFormatting sqref="V232">
    <cfRule type="beginsWith" dxfId="173" priority="121" operator="beginsWith" text="Recus">
      <formula>LEFT(V232,LEN("Recus"))="Recus"</formula>
    </cfRule>
    <cfRule type="endsWith" dxfId="172" priority="122" operator="endsWith" text="lise">
      <formula>RIGHT(V232,LEN("lise"))="lise"</formula>
    </cfRule>
    <cfRule type="beginsWith" dxfId="171" priority="123" operator="beginsWith" text="rece">
      <formula>LEFT(V232,LEN("rece"))="rece"</formula>
    </cfRule>
    <cfRule type="beginsWith" dxfId="170" priority="124" operator="beginsWith" text="Env">
      <formula>LEFT(V232,LEN("Env"))="Env"</formula>
    </cfRule>
  </conditionalFormatting>
  <conditionalFormatting sqref="E233">
    <cfRule type="duplicateValues" dxfId="169" priority="120"/>
  </conditionalFormatting>
  <conditionalFormatting sqref="D233">
    <cfRule type="beginsWith" dxfId="168" priority="119" operator="beginsWith" text="Sem E">
      <formula>LEFT(D233,LEN("Sem E"))="Sem E"</formula>
    </cfRule>
  </conditionalFormatting>
  <conditionalFormatting sqref="G233">
    <cfRule type="duplicateValues" dxfId="167" priority="118"/>
  </conditionalFormatting>
  <conditionalFormatting sqref="V233">
    <cfRule type="beginsWith" dxfId="166" priority="113" operator="beginsWith" text="Recus">
      <formula>LEFT(V233,LEN("Recus"))="Recus"</formula>
    </cfRule>
    <cfRule type="beginsWith" dxfId="165" priority="114" operator="beginsWith" text="Env">
      <formula>LEFT(V233,LEN("Env"))="Env"</formula>
    </cfRule>
    <cfRule type="beginsWith" dxfId="164" priority="115" operator="beginsWith" text="Em Nego">
      <formula>LEFT(V233,LEN("Em Nego"))="Em Nego"</formula>
    </cfRule>
    <cfRule type="beginsWith" dxfId="163" priority="116" operator="beginsWith" text="Canc">
      <formula>LEFT(V233,LEN("Canc"))="Canc"</formula>
    </cfRule>
    <cfRule type="beginsWith" dxfId="162" priority="117" operator="beginsWith" text="Exp">
      <formula>LEFT(V233,LEN("Exp"))="Exp"</formula>
    </cfRule>
  </conditionalFormatting>
  <conditionalFormatting sqref="V233">
    <cfRule type="beginsWith" dxfId="161" priority="111" operator="beginsWith" text="Canc">
      <formula>LEFT(V233,LEN("Canc"))="Canc"</formula>
    </cfRule>
    <cfRule type="beginsWith" dxfId="160" priority="112" operator="beginsWith" text="Exp">
      <formula>LEFT(V233,LEN("Exp"))="Exp"</formula>
    </cfRule>
  </conditionalFormatting>
  <conditionalFormatting sqref="V233">
    <cfRule type="beginsWith" dxfId="159" priority="107" operator="beginsWith" text="rece">
      <formula>LEFT(V233,LEN("rece"))="rece"</formula>
    </cfRule>
    <cfRule type="beginsWith" dxfId="158" priority="108" operator="beginsWith" text="Recus">
      <formula>LEFT(V233,LEN("Recus"))="Recus"</formula>
    </cfRule>
    <cfRule type="beginsWith" dxfId="157" priority="109" operator="beginsWith" text="Env">
      <formula>LEFT(V233,LEN("Env"))="Env"</formula>
    </cfRule>
    <cfRule type="beginsWith" dxfId="156" priority="110" operator="beginsWith" text="rece">
      <formula>LEFT(V233,LEN("rece"))="rece"</formula>
    </cfRule>
  </conditionalFormatting>
  <conditionalFormatting sqref="V233">
    <cfRule type="endsWith" dxfId="155" priority="106" operator="endsWith" text="lise">
      <formula>RIGHT(V233,LEN("lise"))="lise"</formula>
    </cfRule>
  </conditionalFormatting>
  <conditionalFormatting sqref="V233">
    <cfRule type="beginsWith" dxfId="154" priority="105" operator="beginsWith" text="Recus">
      <formula>LEFT(V233,LEN("Recus"))="Recus"</formula>
    </cfRule>
  </conditionalFormatting>
  <conditionalFormatting sqref="V233">
    <cfRule type="beginsWith" dxfId="153" priority="101" operator="beginsWith" text="Recus">
      <formula>LEFT(V233,LEN("Recus"))="Recus"</formula>
    </cfRule>
    <cfRule type="endsWith" dxfId="152" priority="102" operator="endsWith" text="lise">
      <formula>RIGHT(V233,LEN("lise"))="lise"</formula>
    </cfRule>
    <cfRule type="beginsWith" dxfId="151" priority="103" operator="beginsWith" text="rece">
      <formula>LEFT(V233,LEN("rece"))="rece"</formula>
    </cfRule>
    <cfRule type="beginsWith" dxfId="150" priority="104" operator="beginsWith" text="Env">
      <formula>LEFT(V233,LEN("Env"))="Env"</formula>
    </cfRule>
  </conditionalFormatting>
  <conditionalFormatting sqref="E234">
    <cfRule type="duplicateValues" dxfId="149" priority="100"/>
  </conditionalFormatting>
  <conditionalFormatting sqref="D234">
    <cfRule type="beginsWith" dxfId="148" priority="99" operator="beginsWith" text="Sem E">
      <formula>LEFT(D234,LEN("Sem E"))="Sem E"</formula>
    </cfRule>
  </conditionalFormatting>
  <conditionalFormatting sqref="G234">
    <cfRule type="duplicateValues" dxfId="147" priority="98"/>
  </conditionalFormatting>
  <conditionalFormatting sqref="V234">
    <cfRule type="beginsWith" dxfId="146" priority="93" operator="beginsWith" text="Recus">
      <formula>LEFT(V234,LEN("Recus"))="Recus"</formula>
    </cfRule>
    <cfRule type="beginsWith" dxfId="145" priority="94" operator="beginsWith" text="Env">
      <formula>LEFT(V234,LEN("Env"))="Env"</formula>
    </cfRule>
    <cfRule type="beginsWith" dxfId="144" priority="95" operator="beginsWith" text="Em Nego">
      <formula>LEFT(V234,LEN("Em Nego"))="Em Nego"</formula>
    </cfRule>
    <cfRule type="beginsWith" dxfId="143" priority="96" operator="beginsWith" text="Canc">
      <formula>LEFT(V234,LEN("Canc"))="Canc"</formula>
    </cfRule>
    <cfRule type="beginsWith" dxfId="142" priority="97" operator="beginsWith" text="Exp">
      <formula>LEFT(V234,LEN("Exp"))="Exp"</formula>
    </cfRule>
  </conditionalFormatting>
  <conditionalFormatting sqref="V234">
    <cfRule type="beginsWith" dxfId="141" priority="91" operator="beginsWith" text="Canc">
      <formula>LEFT(V234,LEN("Canc"))="Canc"</formula>
    </cfRule>
    <cfRule type="beginsWith" dxfId="140" priority="92" operator="beginsWith" text="Exp">
      <formula>LEFT(V234,LEN("Exp"))="Exp"</formula>
    </cfRule>
  </conditionalFormatting>
  <conditionalFormatting sqref="V234">
    <cfRule type="beginsWith" dxfId="139" priority="87" operator="beginsWith" text="rece">
      <formula>LEFT(V234,LEN("rece"))="rece"</formula>
    </cfRule>
    <cfRule type="beginsWith" dxfId="138" priority="88" operator="beginsWith" text="Recus">
      <formula>LEFT(V234,LEN("Recus"))="Recus"</formula>
    </cfRule>
    <cfRule type="beginsWith" dxfId="137" priority="89" operator="beginsWith" text="Env">
      <formula>LEFT(V234,LEN("Env"))="Env"</formula>
    </cfRule>
    <cfRule type="beginsWith" dxfId="136" priority="90" operator="beginsWith" text="rece">
      <formula>LEFT(V234,LEN("rece"))="rece"</formula>
    </cfRule>
  </conditionalFormatting>
  <conditionalFormatting sqref="V234">
    <cfRule type="endsWith" dxfId="135" priority="86" operator="endsWith" text="lise">
      <formula>RIGHT(V234,LEN("lise"))="lise"</formula>
    </cfRule>
  </conditionalFormatting>
  <conditionalFormatting sqref="V234">
    <cfRule type="beginsWith" dxfId="134" priority="85" operator="beginsWith" text="Recus">
      <formula>LEFT(V234,LEN("Recus"))="Recus"</formula>
    </cfRule>
  </conditionalFormatting>
  <conditionalFormatting sqref="V234">
    <cfRule type="beginsWith" dxfId="133" priority="81" operator="beginsWith" text="Recus">
      <formula>LEFT(V234,LEN("Recus"))="Recus"</formula>
    </cfRule>
    <cfRule type="endsWith" dxfId="132" priority="82" operator="endsWith" text="lise">
      <formula>RIGHT(V234,LEN("lise"))="lise"</formula>
    </cfRule>
    <cfRule type="beginsWith" dxfId="131" priority="83" operator="beginsWith" text="rece">
      <formula>LEFT(V234,LEN("rece"))="rece"</formula>
    </cfRule>
    <cfRule type="beginsWith" dxfId="130" priority="84" operator="beginsWith" text="Env">
      <formula>LEFT(V234,LEN("Env"))="Env"</formula>
    </cfRule>
  </conditionalFormatting>
  <conditionalFormatting sqref="E235">
    <cfRule type="duplicateValues" dxfId="129" priority="80"/>
  </conditionalFormatting>
  <conditionalFormatting sqref="D235">
    <cfRule type="beginsWith" dxfId="128" priority="79" operator="beginsWith" text="Sem E">
      <formula>LEFT(D235,LEN("Sem E"))="Sem E"</formula>
    </cfRule>
  </conditionalFormatting>
  <conditionalFormatting sqref="G235">
    <cfRule type="duplicateValues" dxfId="127" priority="78"/>
  </conditionalFormatting>
  <conditionalFormatting sqref="V235">
    <cfRule type="beginsWith" dxfId="126" priority="73" operator="beginsWith" text="Recus">
      <formula>LEFT(V235,LEN("Recus"))="Recus"</formula>
    </cfRule>
    <cfRule type="beginsWith" dxfId="125" priority="74" operator="beginsWith" text="Env">
      <formula>LEFT(V235,LEN("Env"))="Env"</formula>
    </cfRule>
    <cfRule type="beginsWith" dxfId="124" priority="75" operator="beginsWith" text="Em Nego">
      <formula>LEFT(V235,LEN("Em Nego"))="Em Nego"</formula>
    </cfRule>
    <cfRule type="beginsWith" dxfId="123" priority="76" operator="beginsWith" text="Canc">
      <formula>LEFT(V235,LEN("Canc"))="Canc"</formula>
    </cfRule>
    <cfRule type="beginsWith" dxfId="122" priority="77" operator="beginsWith" text="Exp">
      <formula>LEFT(V235,LEN("Exp"))="Exp"</formula>
    </cfRule>
  </conditionalFormatting>
  <conditionalFormatting sqref="V235">
    <cfRule type="beginsWith" dxfId="121" priority="71" operator="beginsWith" text="Canc">
      <formula>LEFT(V235,LEN("Canc"))="Canc"</formula>
    </cfRule>
    <cfRule type="beginsWith" dxfId="120" priority="72" operator="beginsWith" text="Exp">
      <formula>LEFT(V235,LEN("Exp"))="Exp"</formula>
    </cfRule>
  </conditionalFormatting>
  <conditionalFormatting sqref="V235">
    <cfRule type="beginsWith" dxfId="119" priority="67" operator="beginsWith" text="rece">
      <formula>LEFT(V235,LEN("rece"))="rece"</formula>
    </cfRule>
    <cfRule type="beginsWith" dxfId="118" priority="68" operator="beginsWith" text="Recus">
      <formula>LEFT(V235,LEN("Recus"))="Recus"</formula>
    </cfRule>
    <cfRule type="beginsWith" dxfId="117" priority="69" operator="beginsWith" text="Env">
      <formula>LEFT(V235,LEN("Env"))="Env"</formula>
    </cfRule>
    <cfRule type="beginsWith" dxfId="116" priority="70" operator="beginsWith" text="rece">
      <formula>LEFT(V235,LEN("rece"))="rece"</formula>
    </cfRule>
  </conditionalFormatting>
  <conditionalFormatting sqref="V235">
    <cfRule type="endsWith" dxfId="115" priority="66" operator="endsWith" text="lise">
      <formula>RIGHT(V235,LEN("lise"))="lise"</formula>
    </cfRule>
  </conditionalFormatting>
  <conditionalFormatting sqref="V235">
    <cfRule type="beginsWith" dxfId="114" priority="65" operator="beginsWith" text="Recus">
      <formula>LEFT(V235,LEN("Recus"))="Recus"</formula>
    </cfRule>
  </conditionalFormatting>
  <conditionalFormatting sqref="V235">
    <cfRule type="beginsWith" dxfId="113" priority="61" operator="beginsWith" text="Recus">
      <formula>LEFT(V235,LEN("Recus"))="Recus"</formula>
    </cfRule>
    <cfRule type="endsWith" dxfId="112" priority="62" operator="endsWith" text="lise">
      <formula>RIGHT(V235,LEN("lise"))="lise"</formula>
    </cfRule>
    <cfRule type="beginsWith" dxfId="111" priority="63" operator="beginsWith" text="rece">
      <formula>LEFT(V235,LEN("rece"))="rece"</formula>
    </cfRule>
    <cfRule type="beginsWith" dxfId="110" priority="64" operator="beginsWith" text="Env">
      <formula>LEFT(V235,LEN("Env"))="Env"</formula>
    </cfRule>
  </conditionalFormatting>
  <conditionalFormatting sqref="E236">
    <cfRule type="duplicateValues" dxfId="109" priority="60"/>
  </conditionalFormatting>
  <conditionalFormatting sqref="D236">
    <cfRule type="beginsWith" dxfId="108" priority="59" operator="beginsWith" text="Sem E">
      <formula>LEFT(D236,LEN("Sem E"))="Sem E"</formula>
    </cfRule>
  </conditionalFormatting>
  <conditionalFormatting sqref="G236">
    <cfRule type="duplicateValues" dxfId="107" priority="58"/>
  </conditionalFormatting>
  <conditionalFormatting sqref="V236">
    <cfRule type="beginsWith" dxfId="106" priority="53" operator="beginsWith" text="Recus">
      <formula>LEFT(V236,LEN("Recus"))="Recus"</formula>
    </cfRule>
    <cfRule type="beginsWith" dxfId="105" priority="54" operator="beginsWith" text="Env">
      <formula>LEFT(V236,LEN("Env"))="Env"</formula>
    </cfRule>
    <cfRule type="beginsWith" dxfId="104" priority="55" operator="beginsWith" text="Em Nego">
      <formula>LEFT(V236,LEN("Em Nego"))="Em Nego"</formula>
    </cfRule>
    <cfRule type="beginsWith" dxfId="103" priority="56" operator="beginsWith" text="Canc">
      <formula>LEFT(V236,LEN("Canc"))="Canc"</formula>
    </cfRule>
    <cfRule type="beginsWith" dxfId="102" priority="57" operator="beginsWith" text="Exp">
      <formula>LEFT(V236,LEN("Exp"))="Exp"</formula>
    </cfRule>
  </conditionalFormatting>
  <conditionalFormatting sqref="V236">
    <cfRule type="beginsWith" dxfId="101" priority="51" operator="beginsWith" text="Canc">
      <formula>LEFT(V236,LEN("Canc"))="Canc"</formula>
    </cfRule>
    <cfRule type="beginsWith" dxfId="100" priority="52" operator="beginsWith" text="Exp">
      <formula>LEFT(V236,LEN("Exp"))="Exp"</formula>
    </cfRule>
  </conditionalFormatting>
  <conditionalFormatting sqref="V236">
    <cfRule type="beginsWith" dxfId="99" priority="47" operator="beginsWith" text="rece">
      <formula>LEFT(V236,LEN("rece"))="rece"</formula>
    </cfRule>
    <cfRule type="beginsWith" dxfId="98" priority="48" operator="beginsWith" text="Recus">
      <formula>LEFT(V236,LEN("Recus"))="Recus"</formula>
    </cfRule>
    <cfRule type="beginsWith" dxfId="97" priority="49" operator="beginsWith" text="Env">
      <formula>LEFT(V236,LEN("Env"))="Env"</formula>
    </cfRule>
    <cfRule type="beginsWith" dxfId="96" priority="50" operator="beginsWith" text="rece">
      <formula>LEFT(V236,LEN("rece"))="rece"</formula>
    </cfRule>
  </conditionalFormatting>
  <conditionalFormatting sqref="V236">
    <cfRule type="endsWith" dxfId="95" priority="46" operator="endsWith" text="lise">
      <formula>RIGHT(V236,LEN("lise"))="lise"</formula>
    </cfRule>
  </conditionalFormatting>
  <conditionalFormatting sqref="V236">
    <cfRule type="beginsWith" dxfId="94" priority="45" operator="beginsWith" text="Recus">
      <formula>LEFT(V236,LEN("Recus"))="Recus"</formula>
    </cfRule>
  </conditionalFormatting>
  <conditionalFormatting sqref="V236">
    <cfRule type="beginsWith" dxfId="93" priority="41" operator="beginsWith" text="Recus">
      <formula>LEFT(V236,LEN("Recus"))="Recus"</formula>
    </cfRule>
    <cfRule type="endsWith" dxfId="92" priority="42" operator="endsWith" text="lise">
      <formula>RIGHT(V236,LEN("lise"))="lise"</formula>
    </cfRule>
    <cfRule type="beginsWith" dxfId="91" priority="43" operator="beginsWith" text="rece">
      <formula>LEFT(V236,LEN("rece"))="rece"</formula>
    </cfRule>
    <cfRule type="beginsWith" dxfId="90" priority="44" operator="beginsWith" text="Env">
      <formula>LEFT(V236,LEN("Env"))="Env"</formula>
    </cfRule>
  </conditionalFormatting>
  <conditionalFormatting sqref="E237">
    <cfRule type="duplicateValues" dxfId="89" priority="40"/>
  </conditionalFormatting>
  <conditionalFormatting sqref="D237">
    <cfRule type="beginsWith" dxfId="88" priority="39" operator="beginsWith" text="Sem E">
      <formula>LEFT(D237,LEN("Sem E"))="Sem E"</formula>
    </cfRule>
  </conditionalFormatting>
  <conditionalFormatting sqref="G237">
    <cfRule type="duplicateValues" dxfId="87" priority="38"/>
  </conditionalFormatting>
  <conditionalFormatting sqref="V237">
    <cfRule type="beginsWith" dxfId="86" priority="33" operator="beginsWith" text="Recus">
      <formula>LEFT(V237,LEN("Recus"))="Recus"</formula>
    </cfRule>
    <cfRule type="beginsWith" dxfId="85" priority="34" operator="beginsWith" text="Env">
      <formula>LEFT(V237,LEN("Env"))="Env"</formula>
    </cfRule>
    <cfRule type="beginsWith" dxfId="84" priority="35" operator="beginsWith" text="Em Nego">
      <formula>LEFT(V237,LEN("Em Nego"))="Em Nego"</formula>
    </cfRule>
    <cfRule type="beginsWith" dxfId="83" priority="36" operator="beginsWith" text="Canc">
      <formula>LEFT(V237,LEN("Canc"))="Canc"</formula>
    </cfRule>
    <cfRule type="beginsWith" dxfId="82" priority="37" operator="beginsWith" text="Exp">
      <formula>LEFT(V237,LEN("Exp"))="Exp"</formula>
    </cfRule>
  </conditionalFormatting>
  <conditionalFormatting sqref="V237">
    <cfRule type="beginsWith" dxfId="81" priority="31" operator="beginsWith" text="Canc">
      <formula>LEFT(V237,LEN("Canc"))="Canc"</formula>
    </cfRule>
    <cfRule type="beginsWith" dxfId="80" priority="32" operator="beginsWith" text="Exp">
      <formula>LEFT(V237,LEN("Exp"))="Exp"</formula>
    </cfRule>
  </conditionalFormatting>
  <conditionalFormatting sqref="V237">
    <cfRule type="beginsWith" dxfId="79" priority="27" operator="beginsWith" text="rece">
      <formula>LEFT(V237,LEN("rece"))="rece"</formula>
    </cfRule>
    <cfRule type="beginsWith" dxfId="78" priority="28" operator="beginsWith" text="Recus">
      <formula>LEFT(V237,LEN("Recus"))="Recus"</formula>
    </cfRule>
    <cfRule type="beginsWith" dxfId="77" priority="29" operator="beginsWith" text="Env">
      <formula>LEFT(V237,LEN("Env"))="Env"</formula>
    </cfRule>
    <cfRule type="beginsWith" dxfId="76" priority="30" operator="beginsWith" text="rece">
      <formula>LEFT(V237,LEN("rece"))="rece"</formula>
    </cfRule>
  </conditionalFormatting>
  <conditionalFormatting sqref="V237">
    <cfRule type="endsWith" dxfId="75" priority="26" operator="endsWith" text="lise">
      <formula>RIGHT(V237,LEN("lise"))="lise"</formula>
    </cfRule>
  </conditionalFormatting>
  <conditionalFormatting sqref="V237">
    <cfRule type="beginsWith" dxfId="74" priority="25" operator="beginsWith" text="Recus">
      <formula>LEFT(V237,LEN("Recus"))="Recus"</formula>
    </cfRule>
  </conditionalFormatting>
  <conditionalFormatting sqref="V237">
    <cfRule type="beginsWith" dxfId="73" priority="21" operator="beginsWith" text="Recus">
      <formula>LEFT(V237,LEN("Recus"))="Recus"</formula>
    </cfRule>
    <cfRule type="endsWith" dxfId="72" priority="22" operator="endsWith" text="lise">
      <formula>RIGHT(V237,LEN("lise"))="lise"</formula>
    </cfRule>
    <cfRule type="beginsWith" dxfId="71" priority="23" operator="beginsWith" text="rece">
      <formula>LEFT(V237,LEN("rece"))="rece"</formula>
    </cfRule>
    <cfRule type="beginsWith" dxfId="70" priority="24" operator="beginsWith" text="Env">
      <formula>LEFT(V237,LEN("Env"))="Env"</formula>
    </cfRule>
  </conditionalFormatting>
  <conditionalFormatting sqref="E238">
    <cfRule type="duplicateValues" dxfId="69" priority="20"/>
  </conditionalFormatting>
  <conditionalFormatting sqref="D238">
    <cfRule type="beginsWith" dxfId="68" priority="19" operator="beginsWith" text="Sem E">
      <formula>LEFT(D238,LEN("Sem E"))="Sem E"</formula>
    </cfRule>
  </conditionalFormatting>
  <conditionalFormatting sqref="G238">
    <cfRule type="duplicateValues" dxfId="67" priority="18"/>
  </conditionalFormatting>
  <conditionalFormatting sqref="V238">
    <cfRule type="beginsWith" dxfId="66" priority="13" operator="beginsWith" text="Recus">
      <formula>LEFT(V238,LEN("Recus"))="Recus"</formula>
    </cfRule>
    <cfRule type="beginsWith" dxfId="65" priority="14" operator="beginsWith" text="Env">
      <formula>LEFT(V238,LEN("Env"))="Env"</formula>
    </cfRule>
    <cfRule type="beginsWith" dxfId="64" priority="15" operator="beginsWith" text="Em Nego">
      <formula>LEFT(V238,LEN("Em Nego"))="Em Nego"</formula>
    </cfRule>
    <cfRule type="beginsWith" dxfId="63" priority="16" operator="beginsWith" text="Canc">
      <formula>LEFT(V238,LEN("Canc"))="Canc"</formula>
    </cfRule>
    <cfRule type="beginsWith" dxfId="62" priority="17" operator="beginsWith" text="Exp">
      <formula>LEFT(V238,LEN("Exp"))="Exp"</formula>
    </cfRule>
  </conditionalFormatting>
  <conditionalFormatting sqref="V238">
    <cfRule type="beginsWith" dxfId="61" priority="11" operator="beginsWith" text="Canc">
      <formula>LEFT(V238,LEN("Canc"))="Canc"</formula>
    </cfRule>
    <cfRule type="beginsWith" dxfId="60" priority="12" operator="beginsWith" text="Exp">
      <formula>LEFT(V238,LEN("Exp"))="Exp"</formula>
    </cfRule>
  </conditionalFormatting>
  <conditionalFormatting sqref="V238">
    <cfRule type="beginsWith" dxfId="59" priority="7" operator="beginsWith" text="rece">
      <formula>LEFT(V238,LEN("rece"))="rece"</formula>
    </cfRule>
    <cfRule type="beginsWith" dxfId="58" priority="8" operator="beginsWith" text="Recus">
      <formula>LEFT(V238,LEN("Recus"))="Recus"</formula>
    </cfRule>
    <cfRule type="beginsWith" dxfId="57" priority="9" operator="beginsWith" text="Env">
      <formula>LEFT(V238,LEN("Env"))="Env"</formula>
    </cfRule>
    <cfRule type="beginsWith" dxfId="56" priority="10" operator="beginsWith" text="rece">
      <formula>LEFT(V238,LEN("rece"))="rece"</formula>
    </cfRule>
  </conditionalFormatting>
  <conditionalFormatting sqref="V238">
    <cfRule type="endsWith" dxfId="55" priority="6" operator="endsWith" text="lise">
      <formula>RIGHT(V238,LEN("lise"))="lise"</formula>
    </cfRule>
  </conditionalFormatting>
  <conditionalFormatting sqref="V238">
    <cfRule type="beginsWith" dxfId="54" priority="5" operator="beginsWith" text="Recus">
      <formula>LEFT(V238,LEN("Recus"))="Recus"</formula>
    </cfRule>
  </conditionalFormatting>
  <conditionalFormatting sqref="V238">
    <cfRule type="beginsWith" dxfId="53" priority="1" operator="beginsWith" text="Recus">
      <formula>LEFT(V238,LEN("Recus"))="Recus"</formula>
    </cfRule>
    <cfRule type="endsWith" dxfId="52" priority="2" operator="endsWith" text="lise">
      <formula>RIGHT(V238,LEN("lise"))="lise"</formula>
    </cfRule>
    <cfRule type="beginsWith" dxfId="51" priority="3" operator="beginsWith" text="rece">
      <formula>LEFT(V238,LEN("rece"))="rece"</formula>
    </cfRule>
    <cfRule type="beginsWith" dxfId="50" priority="4" operator="beginsWith" text="Env">
      <formula>LEFT(V238,LEN("Env"))="Env"</formula>
    </cfRule>
  </conditionalFormatting>
  <pageMargins left="0.7" right="0.7" top="0.75" bottom="0.75" header="0.3" footer="0.3"/>
  <pageSetup paperSize="9" orientation="portrait" r:id="rId1"/>
  <ignoredErrors>
    <ignoredError sqref="S239:S1048576" calculatedColumn="1"/>
  </ignoredErrors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'I:\Desenvolvimento-GCO\GCO\ACOMPANHAMENTO\Canal MPME\[Analise_06-17.xlsm]Plan3'!#REF!</xm:f>
          </x14:formula1>
          <xm:sqref>V226:V238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5"/>
  <dimension ref="A1:M53"/>
  <sheetViews>
    <sheetView workbookViewId="0">
      <selection activeCell="C44" sqref="C44"/>
    </sheetView>
  </sheetViews>
  <sheetFormatPr defaultRowHeight="15" x14ac:dyDescent="0.25"/>
  <cols>
    <col min="1" max="1" width="28.42578125" bestFit="1" customWidth="1"/>
    <col min="2" max="2" width="26.42578125" style="85" bestFit="1" customWidth="1"/>
    <col min="3" max="3" width="18.28515625" bestFit="1" customWidth="1"/>
    <col min="4" max="4" width="15.7109375" bestFit="1" customWidth="1"/>
    <col min="5" max="5" width="15.42578125" bestFit="1" customWidth="1"/>
    <col min="6" max="6" width="18.28515625" bestFit="1" customWidth="1"/>
    <col min="7" max="8" width="15.5703125" bestFit="1" customWidth="1"/>
    <col min="9" max="9" width="12" customWidth="1"/>
    <col min="12" max="12" width="10.7109375" bestFit="1" customWidth="1"/>
  </cols>
  <sheetData>
    <row r="1" spans="1:13" ht="15.75" thickBot="1" x14ac:dyDescent="0.3">
      <c r="A1" s="168" t="s">
        <v>166</v>
      </c>
      <c r="B1" s="169"/>
      <c r="C1" s="169"/>
      <c r="D1" s="169"/>
      <c r="E1" s="170"/>
    </row>
    <row r="2" spans="1:13" ht="15.75" thickBot="1" x14ac:dyDescent="0.3">
      <c r="A2" s="62" t="s">
        <v>167</v>
      </c>
      <c r="B2" s="88" t="s">
        <v>168</v>
      </c>
      <c r="C2" s="62" t="s">
        <v>169</v>
      </c>
      <c r="D2" s="62" t="s">
        <v>170</v>
      </c>
      <c r="E2" s="62" t="s">
        <v>171</v>
      </c>
    </row>
    <row r="3" spans="1:13" x14ac:dyDescent="0.25">
      <c r="A3" s="96" t="s">
        <v>172</v>
      </c>
      <c r="B3" s="97"/>
      <c r="C3" s="87"/>
      <c r="D3" s="99"/>
      <c r="E3" s="89"/>
      <c r="G3" s="57"/>
      <c r="H3" s="57"/>
    </row>
    <row r="4" spans="1:13" x14ac:dyDescent="0.25">
      <c r="A4" s="73" t="s">
        <v>173</v>
      </c>
      <c r="B4" s="98"/>
      <c r="C4" s="74"/>
      <c r="D4" s="35"/>
      <c r="E4" s="90"/>
      <c r="G4" s="53"/>
      <c r="H4" s="54"/>
    </row>
    <row r="5" spans="1:13" x14ac:dyDescent="0.25">
      <c r="A5" s="73" t="s">
        <v>174</v>
      </c>
      <c r="B5" s="98"/>
      <c r="C5" s="74"/>
      <c r="D5" s="35"/>
      <c r="E5" s="90"/>
      <c r="G5" s="4"/>
      <c r="H5" s="55"/>
    </row>
    <row r="6" spans="1:13" x14ac:dyDescent="0.25">
      <c r="A6" s="73" t="s">
        <v>175</v>
      </c>
      <c r="B6" s="70"/>
      <c r="C6" s="74"/>
      <c r="D6" s="100"/>
      <c r="E6" s="90"/>
      <c r="G6" s="4"/>
      <c r="H6" s="4"/>
    </row>
    <row r="7" spans="1:13" x14ac:dyDescent="0.25">
      <c r="A7" s="73" t="s">
        <v>176</v>
      </c>
      <c r="B7" s="58"/>
      <c r="C7" s="74"/>
      <c r="D7" s="101"/>
      <c r="E7" s="90"/>
      <c r="G7" s="4"/>
      <c r="H7" s="56"/>
    </row>
    <row r="8" spans="1:13" x14ac:dyDescent="0.25">
      <c r="A8" s="103" t="s">
        <v>177</v>
      </c>
      <c r="B8" s="102"/>
      <c r="C8" s="36"/>
      <c r="D8" s="35"/>
      <c r="E8" s="90"/>
    </row>
    <row r="9" spans="1:13" x14ac:dyDescent="0.25">
      <c r="A9" s="64" t="s">
        <v>178</v>
      </c>
      <c r="B9" s="161"/>
      <c r="C9" s="61"/>
      <c r="D9" s="59"/>
      <c r="E9" s="90"/>
    </row>
    <row r="10" spans="1:13" x14ac:dyDescent="0.25">
      <c r="A10" s="65" t="s">
        <v>179</v>
      </c>
      <c r="B10" s="84">
        <f>SUM(B3:B9)</f>
        <v>0</v>
      </c>
      <c r="C10" s="66">
        <f>SUM(C3:C9)</f>
        <v>0</v>
      </c>
      <c r="D10" s="67">
        <f>SUM(D3:D9)</f>
        <v>0</v>
      </c>
      <c r="E10" s="68" t="e">
        <f xml:space="preserve"> B10/C10</f>
        <v>#DIV/0!</v>
      </c>
    </row>
    <row r="11" spans="1:13" x14ac:dyDescent="0.25">
      <c r="A11" s="37"/>
    </row>
    <row r="12" spans="1:13" ht="15" customHeight="1" thickBot="1" x14ac:dyDescent="0.3">
      <c r="A12" s="38"/>
      <c r="D12" s="9"/>
    </row>
    <row r="13" spans="1:13" ht="15.75" thickBot="1" x14ac:dyDescent="0.3">
      <c r="A13" s="171" t="s">
        <v>180</v>
      </c>
      <c r="B13" s="172"/>
      <c r="C13" s="172"/>
      <c r="D13" s="172"/>
      <c r="E13" s="172"/>
      <c r="F13" s="172"/>
      <c r="G13" s="172"/>
      <c r="H13" s="173"/>
      <c r="M13" s="39" t="s">
        <v>26</v>
      </c>
    </row>
    <row r="14" spans="1:13" ht="15.75" thickBot="1" x14ac:dyDescent="0.3">
      <c r="A14" s="62" t="s">
        <v>167</v>
      </c>
      <c r="B14" s="69" t="s">
        <v>168</v>
      </c>
      <c r="C14" s="62" t="s">
        <v>169</v>
      </c>
      <c r="D14" s="62" t="s">
        <v>170</v>
      </c>
      <c r="E14" s="62" t="s">
        <v>111</v>
      </c>
      <c r="F14" s="62" t="s">
        <v>110</v>
      </c>
      <c r="G14" s="62" t="s">
        <v>82</v>
      </c>
      <c r="H14" s="60" t="s">
        <v>29</v>
      </c>
      <c r="M14" t="s">
        <v>76</v>
      </c>
    </row>
    <row r="15" spans="1:13" x14ac:dyDescent="0.25">
      <c r="A15" s="46" t="s">
        <v>172</v>
      </c>
      <c r="B15" s="58"/>
      <c r="C15" s="46"/>
      <c r="D15" s="63"/>
      <c r="E15" s="46"/>
      <c r="F15" s="46"/>
      <c r="G15" s="46"/>
      <c r="H15" s="46"/>
      <c r="M15" t="s">
        <v>36</v>
      </c>
    </row>
    <row r="16" spans="1:13" x14ac:dyDescent="0.25">
      <c r="A16" s="33" t="s">
        <v>173</v>
      </c>
      <c r="B16" s="34"/>
      <c r="C16" s="46"/>
      <c r="D16" s="63"/>
      <c r="E16" s="46"/>
      <c r="F16" s="46"/>
      <c r="G16" s="46"/>
      <c r="H16" s="46"/>
    </row>
    <row r="17" spans="1:13" x14ac:dyDescent="0.25">
      <c r="A17" s="33" t="s">
        <v>174</v>
      </c>
      <c r="B17" s="34"/>
      <c r="C17" s="46"/>
      <c r="D17" s="63"/>
      <c r="E17" s="46"/>
      <c r="F17" s="46"/>
      <c r="G17" s="46"/>
      <c r="H17" s="46"/>
    </row>
    <row r="18" spans="1:13" x14ac:dyDescent="0.25">
      <c r="A18" s="33" t="s">
        <v>175</v>
      </c>
      <c r="B18" s="70"/>
      <c r="C18" s="71"/>
      <c r="D18" s="59"/>
      <c r="E18" s="40"/>
      <c r="F18" s="40"/>
      <c r="G18" s="40"/>
      <c r="H18" s="40"/>
    </row>
    <row r="19" spans="1:13" x14ac:dyDescent="0.25">
      <c r="A19" s="33" t="s">
        <v>176</v>
      </c>
      <c r="B19" s="70"/>
      <c r="C19" s="71"/>
      <c r="D19" s="59"/>
      <c r="E19" s="40"/>
      <c r="F19" s="40"/>
      <c r="G19" s="40"/>
      <c r="H19" s="40"/>
    </row>
    <row r="20" spans="1:13" x14ac:dyDescent="0.25">
      <c r="A20" s="33" t="s">
        <v>177</v>
      </c>
      <c r="B20" s="70"/>
      <c r="C20" s="71"/>
      <c r="D20" s="59"/>
      <c r="E20" s="40"/>
      <c r="F20" s="40"/>
      <c r="G20" s="40"/>
      <c r="H20" s="40"/>
    </row>
    <row r="21" spans="1:13" x14ac:dyDescent="0.25">
      <c r="A21" s="33" t="s">
        <v>178</v>
      </c>
      <c r="B21" s="34"/>
      <c r="C21" s="46"/>
      <c r="D21" s="63"/>
      <c r="E21" s="46"/>
      <c r="F21" s="46"/>
      <c r="G21" s="46"/>
      <c r="H21" s="46"/>
    </row>
    <row r="22" spans="1:13" x14ac:dyDescent="0.25">
      <c r="A22" s="41" t="s">
        <v>179</v>
      </c>
      <c r="B22" s="86">
        <f t="shared" ref="B22:H22" si="0">SUM(B15:B21)</f>
        <v>0</v>
      </c>
      <c r="C22" s="43">
        <f t="shared" si="0"/>
        <v>0</v>
      </c>
      <c r="D22" s="44">
        <f t="shared" si="0"/>
        <v>0</v>
      </c>
      <c r="E22" s="43">
        <f t="shared" si="0"/>
        <v>0</v>
      </c>
      <c r="F22" s="43">
        <f t="shared" si="0"/>
        <v>0</v>
      </c>
      <c r="G22" s="43">
        <f t="shared" si="0"/>
        <v>0</v>
      </c>
      <c r="H22" s="43">
        <f t="shared" si="0"/>
        <v>0</v>
      </c>
    </row>
    <row r="24" spans="1:13" ht="15.75" thickBot="1" x14ac:dyDescent="0.3">
      <c r="D24" s="95"/>
    </row>
    <row r="25" spans="1:13" ht="15.75" thickBot="1" x14ac:dyDescent="0.3">
      <c r="A25" s="174" t="s">
        <v>182</v>
      </c>
      <c r="B25" s="175"/>
      <c r="C25" s="175"/>
      <c r="D25" s="172"/>
      <c r="E25" s="172"/>
      <c r="F25" s="172"/>
      <c r="G25" s="172"/>
      <c r="H25" s="172"/>
      <c r="I25" s="173"/>
    </row>
    <row r="26" spans="1:13" ht="15.75" thickBot="1" x14ac:dyDescent="0.3">
      <c r="A26" s="176" t="s">
        <v>183</v>
      </c>
      <c r="B26" s="177"/>
      <c r="C26" s="178"/>
      <c r="D26" s="179" t="s">
        <v>83</v>
      </c>
      <c r="E26" s="180"/>
      <c r="F26" s="181" t="s">
        <v>184</v>
      </c>
      <c r="G26" s="180"/>
      <c r="H26" s="181" t="s">
        <v>185</v>
      </c>
      <c r="I26" s="180"/>
    </row>
    <row r="27" spans="1:13" ht="15.75" thickBot="1" x14ac:dyDescent="0.3">
      <c r="A27" s="80" t="s">
        <v>167</v>
      </c>
      <c r="B27" s="81" t="s">
        <v>168</v>
      </c>
      <c r="C27" s="82" t="s">
        <v>186</v>
      </c>
      <c r="D27" s="79" t="s">
        <v>187</v>
      </c>
      <c r="E27" s="82" t="s">
        <v>188</v>
      </c>
      <c r="F27" s="82" t="s">
        <v>187</v>
      </c>
      <c r="G27" s="82" t="s">
        <v>188</v>
      </c>
      <c r="H27" s="82" t="s">
        <v>187</v>
      </c>
      <c r="I27" s="82" t="s">
        <v>188</v>
      </c>
      <c r="M27" s="45"/>
    </row>
    <row r="28" spans="1:13" x14ac:dyDescent="0.25">
      <c r="A28" s="75" t="s">
        <v>109</v>
      </c>
      <c r="B28" s="83"/>
      <c r="C28" s="77"/>
      <c r="D28" s="78"/>
      <c r="E28" s="78"/>
      <c r="F28" s="76"/>
      <c r="G28" s="78"/>
      <c r="H28" s="78"/>
      <c r="I28" s="78"/>
    </row>
    <row r="29" spans="1:13" x14ac:dyDescent="0.25">
      <c r="A29" s="72" t="s">
        <v>172</v>
      </c>
      <c r="B29" s="70"/>
      <c r="C29" s="33"/>
      <c r="D29" s="47"/>
      <c r="E29" s="33"/>
      <c r="F29" s="47"/>
      <c r="G29" s="33"/>
      <c r="H29" s="47"/>
      <c r="I29" s="33"/>
    </row>
    <row r="30" spans="1:13" x14ac:dyDescent="0.25">
      <c r="A30" s="73" t="s">
        <v>173</v>
      </c>
      <c r="B30" s="70"/>
      <c r="C30" s="74"/>
      <c r="D30" s="47"/>
      <c r="E30" s="33"/>
      <c r="F30" s="47"/>
      <c r="G30" s="33"/>
      <c r="H30" s="47"/>
      <c r="I30" s="33"/>
    </row>
    <row r="31" spans="1:13" x14ac:dyDescent="0.25">
      <c r="A31" s="73" t="s">
        <v>174</v>
      </c>
      <c r="B31" s="70"/>
      <c r="C31" s="74"/>
      <c r="D31" s="47"/>
      <c r="E31" s="33"/>
      <c r="F31" s="47"/>
      <c r="G31" s="33"/>
      <c r="H31" s="47"/>
      <c r="I31" s="33"/>
    </row>
    <row r="32" spans="1:13" x14ac:dyDescent="0.25">
      <c r="A32" s="33" t="s">
        <v>175</v>
      </c>
      <c r="B32" s="83"/>
      <c r="C32" s="33"/>
      <c r="D32" s="47"/>
      <c r="E32" s="33"/>
      <c r="F32" s="47"/>
      <c r="G32" s="33"/>
      <c r="H32" s="47"/>
      <c r="I32" s="33"/>
    </row>
    <row r="33" spans="1:9" x14ac:dyDescent="0.25">
      <c r="A33" s="33" t="s">
        <v>176</v>
      </c>
      <c r="B33" s="70"/>
      <c r="C33" s="33"/>
      <c r="D33" s="47"/>
      <c r="E33" s="33"/>
      <c r="F33" s="47"/>
      <c r="G33" s="33"/>
      <c r="H33" s="47"/>
      <c r="I33" s="33"/>
    </row>
    <row r="34" spans="1:9" x14ac:dyDescent="0.25">
      <c r="A34" s="33" t="s">
        <v>177</v>
      </c>
      <c r="B34" s="70"/>
      <c r="C34" s="33"/>
      <c r="D34" s="47"/>
      <c r="E34" s="33"/>
      <c r="F34" s="47"/>
      <c r="G34" s="33"/>
      <c r="H34" s="47"/>
      <c r="I34" s="33"/>
    </row>
    <row r="35" spans="1:9" x14ac:dyDescent="0.25">
      <c r="A35" s="33" t="s">
        <v>178</v>
      </c>
      <c r="B35" s="70"/>
      <c r="C35" s="33"/>
      <c r="D35" s="47"/>
      <c r="E35" s="33"/>
      <c r="F35" s="47"/>
      <c r="G35" s="33"/>
      <c r="H35" s="47"/>
      <c r="I35" s="33"/>
    </row>
    <row r="36" spans="1:9" x14ac:dyDescent="0.25">
      <c r="A36" s="33" t="s">
        <v>181</v>
      </c>
      <c r="B36" s="70"/>
      <c r="C36" s="33"/>
      <c r="D36" s="47"/>
      <c r="E36" s="33"/>
      <c r="F36" s="47"/>
      <c r="G36" s="33"/>
      <c r="H36" s="47"/>
      <c r="I36" s="33"/>
    </row>
    <row r="37" spans="1:9" x14ac:dyDescent="0.25">
      <c r="A37" s="41" t="s">
        <v>179</v>
      </c>
      <c r="B37" s="86">
        <f>SUM(B28:B36)</f>
        <v>0</v>
      </c>
      <c r="C37" s="48">
        <f>SUM(C28:C36)</f>
        <v>0</v>
      </c>
      <c r="D37" s="42">
        <f>SUM(D29:D36)</f>
        <v>0</v>
      </c>
      <c r="E37" s="49">
        <f>SUM(E28:E36)</f>
        <v>0</v>
      </c>
      <c r="F37" s="42">
        <f t="shared" ref="F37:I37" si="1">SUM(F28:F36)</f>
        <v>0</v>
      </c>
      <c r="G37" s="49">
        <f t="shared" si="1"/>
        <v>0</v>
      </c>
      <c r="H37" s="42">
        <f t="shared" si="1"/>
        <v>0</v>
      </c>
      <c r="I37" s="49">
        <f t="shared" si="1"/>
        <v>0</v>
      </c>
    </row>
    <row r="39" spans="1:9" x14ac:dyDescent="0.25">
      <c r="A39" s="50"/>
    </row>
    <row r="40" spans="1:9" x14ac:dyDescent="0.25">
      <c r="A40" s="51"/>
    </row>
    <row r="53" spans="1:1" x14ac:dyDescent="0.25">
      <c r="A53" s="52"/>
    </row>
  </sheetData>
  <mergeCells count="7">
    <mergeCell ref="A1:E1"/>
    <mergeCell ref="A13:H13"/>
    <mergeCell ref="A25:I25"/>
    <mergeCell ref="A26:C26"/>
    <mergeCell ref="D26:E26"/>
    <mergeCell ref="F26:G26"/>
    <mergeCell ref="H26:I26"/>
  </mergeCells>
  <conditionalFormatting sqref="M13:M14">
    <cfRule type="expression" dxfId="21" priority="9">
      <formula>$R13="Ag não encontrada"</formula>
    </cfRule>
    <cfRule type="expression" dxfId="20" priority="12">
      <formula>$R13="Ativa/Cliente interessado"</formula>
    </cfRule>
    <cfRule type="expression" dxfId="19" priority="13">
      <formula>$R13="Ativa/ Em contato cliente "</formula>
    </cfRule>
    <cfRule type="expression" dxfId="18" priority="14">
      <formula>$R13="Cancelada"</formula>
    </cfRule>
  </conditionalFormatting>
  <conditionalFormatting sqref="M13:M14">
    <cfRule type="expression" dxfId="17" priority="10">
      <formula>$R13="Ativa/Cliente sem contato"</formula>
    </cfRule>
    <cfRule type="expression" dxfId="16" priority="11">
      <formula>$R13="CNPJ Inapto"</formula>
    </cfRule>
  </conditionalFormatting>
  <conditionalFormatting sqref="M15">
    <cfRule type="expression" dxfId="15" priority="15">
      <formula>#REF!="Ag não encontrada"</formula>
    </cfRule>
    <cfRule type="expression" dxfId="14" priority="16">
      <formula>#REF!="Ativa/Cliente interessado"</formula>
    </cfRule>
    <cfRule type="expression" dxfId="13" priority="17">
      <formula>#REF!="Ativa/ Em contato cliente "</formula>
    </cfRule>
    <cfRule type="expression" dxfId="12" priority="18">
      <formula>#REF!="Cancelada"</formula>
    </cfRule>
  </conditionalFormatting>
  <conditionalFormatting sqref="M15">
    <cfRule type="expression" dxfId="11" priority="19">
      <formula>#REF!="Ativa/Cliente sem contato"</formula>
    </cfRule>
    <cfRule type="expression" dxfId="10" priority="20">
      <formula>#REF!="CNPJ Inapto"</formula>
    </cfRule>
  </conditionalFormatting>
  <conditionalFormatting sqref="M27">
    <cfRule type="expression" dxfId="9" priority="1">
      <formula>$R27="Agencia errada"</formula>
    </cfRule>
    <cfRule type="expression" dxfId="8" priority="2">
      <formula>$R27="Recusada"</formula>
    </cfRule>
    <cfRule type="expression" dxfId="7" priority="3">
      <formula>$R27="Contratada"</formula>
    </cfRule>
    <cfRule type="expression" dxfId="6" priority="4">
      <formula>$R27="Expirada"</formula>
    </cfRule>
    <cfRule type="expression" dxfId="5" priority="5">
      <formula>$R27="Cancelada"</formula>
    </cfRule>
    <cfRule type="expression" dxfId="4" priority="6">
      <formula>$R27="Ativa/Cliente interessado"</formula>
    </cfRule>
    <cfRule type="expression" dxfId="3" priority="7">
      <formula>$R27="Ativa/Cliente sem contato"</formula>
    </cfRule>
    <cfRule type="expression" dxfId="2" priority="8">
      <formula>$R27 ="Ativa/Em contato com o  cliente"</formula>
    </cfRule>
  </conditionalFormatting>
  <dataValidations disablePrompts="1" count="1">
    <dataValidation type="list" allowBlank="1" showInputMessage="1" showErrorMessage="1" sqref="M27" xr:uid="{00000000-0002-0000-0200-000000000000}">
      <formula1>#REF!</formula1>
    </dataValidation>
  </dataValidation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G499"/>
  <sheetViews>
    <sheetView workbookViewId="0"/>
  </sheetViews>
  <sheetFormatPr defaultRowHeight="15" x14ac:dyDescent="0.25"/>
  <cols>
    <col min="1" max="1" width="43.28515625" style="8" bestFit="1" customWidth="1"/>
    <col min="2" max="2" width="27" style="12" bestFit="1" customWidth="1"/>
    <col min="3" max="3" width="7.140625" style="8" bestFit="1" customWidth="1"/>
    <col min="4" max="4" width="26.42578125" style="8" bestFit="1" customWidth="1"/>
  </cols>
  <sheetData>
    <row r="1" spans="1:4" x14ac:dyDescent="0.25">
      <c r="A1" s="10" t="s">
        <v>4</v>
      </c>
      <c r="B1" s="11" t="s">
        <v>156</v>
      </c>
      <c r="C1" s="10" t="s">
        <v>157</v>
      </c>
      <c r="D1" s="10" t="s">
        <v>158</v>
      </c>
    </row>
    <row r="2" spans="1:4" x14ac:dyDescent="0.25">
      <c r="C2" s="13"/>
      <c r="D2" s="14"/>
    </row>
    <row r="3" spans="1:4" x14ac:dyDescent="0.25">
      <c r="C3" s="13"/>
      <c r="D3" s="14"/>
    </row>
    <row r="4" spans="1:4" x14ac:dyDescent="0.25">
      <c r="C4" s="13"/>
      <c r="D4" s="14"/>
    </row>
    <row r="5" spans="1:4" x14ac:dyDescent="0.25">
      <c r="C5" s="13"/>
      <c r="D5" s="14"/>
    </row>
    <row r="6" spans="1:4" x14ac:dyDescent="0.25">
      <c r="C6" s="13"/>
      <c r="D6" s="14"/>
    </row>
    <row r="7" spans="1:4" x14ac:dyDescent="0.25">
      <c r="C7" s="13"/>
      <c r="D7" s="14"/>
    </row>
    <row r="8" spans="1:4" x14ac:dyDescent="0.25">
      <c r="C8" s="13"/>
      <c r="D8" s="14"/>
    </row>
    <row r="9" spans="1:4" x14ac:dyDescent="0.25">
      <c r="C9" s="13"/>
      <c r="D9" s="14"/>
    </row>
    <row r="10" spans="1:4" x14ac:dyDescent="0.25">
      <c r="C10" s="13"/>
      <c r="D10" s="14"/>
    </row>
    <row r="11" spans="1:4" x14ac:dyDescent="0.25">
      <c r="C11" s="13"/>
      <c r="D11" s="14"/>
    </row>
    <row r="12" spans="1:4" x14ac:dyDescent="0.25">
      <c r="C12" s="13"/>
      <c r="D12" s="14"/>
    </row>
    <row r="13" spans="1:4" x14ac:dyDescent="0.25">
      <c r="C13" s="13"/>
      <c r="D13" s="14"/>
    </row>
    <row r="14" spans="1:4" x14ac:dyDescent="0.25">
      <c r="C14" s="13"/>
      <c r="D14" s="14"/>
    </row>
    <row r="15" spans="1:4" x14ac:dyDescent="0.25">
      <c r="C15" s="13"/>
      <c r="D15" s="14"/>
    </row>
    <row r="16" spans="1:4" x14ac:dyDescent="0.25">
      <c r="C16" s="13"/>
      <c r="D16" s="14"/>
    </row>
    <row r="17" spans="3:4" x14ac:dyDescent="0.25">
      <c r="C17" s="13"/>
      <c r="D17" s="14"/>
    </row>
    <row r="18" spans="3:4" x14ac:dyDescent="0.25">
      <c r="C18" s="13"/>
      <c r="D18" s="14"/>
    </row>
    <row r="19" spans="3:4" x14ac:dyDescent="0.25">
      <c r="C19" s="13"/>
      <c r="D19" s="14"/>
    </row>
    <row r="20" spans="3:4" x14ac:dyDescent="0.25">
      <c r="C20" s="13"/>
      <c r="D20" s="14"/>
    </row>
    <row r="21" spans="3:4" x14ac:dyDescent="0.25">
      <c r="C21" s="13"/>
      <c r="D21" s="14"/>
    </row>
    <row r="22" spans="3:4" x14ac:dyDescent="0.25">
      <c r="C22" s="13"/>
      <c r="D22" s="14"/>
    </row>
    <row r="23" spans="3:4" x14ac:dyDescent="0.25">
      <c r="C23" s="13"/>
      <c r="D23" s="14"/>
    </row>
    <row r="24" spans="3:4" x14ac:dyDescent="0.25">
      <c r="C24" s="13"/>
      <c r="D24" s="14"/>
    </row>
    <row r="25" spans="3:4" x14ac:dyDescent="0.25">
      <c r="C25" s="13"/>
      <c r="D25" s="14"/>
    </row>
    <row r="26" spans="3:4" x14ac:dyDescent="0.25">
      <c r="C26" s="13"/>
      <c r="D26" s="14"/>
    </row>
    <row r="27" spans="3:4" x14ac:dyDescent="0.25">
      <c r="C27" s="13"/>
      <c r="D27" s="14"/>
    </row>
    <row r="28" spans="3:4" x14ac:dyDescent="0.25">
      <c r="C28" s="13"/>
      <c r="D28" s="14"/>
    </row>
    <row r="29" spans="3:4" x14ac:dyDescent="0.25">
      <c r="C29" s="13"/>
      <c r="D29" s="14"/>
    </row>
    <row r="30" spans="3:4" x14ac:dyDescent="0.25">
      <c r="C30" s="13"/>
      <c r="D30" s="14"/>
    </row>
    <row r="31" spans="3:4" x14ac:dyDescent="0.25">
      <c r="C31" s="13"/>
      <c r="D31" s="14"/>
    </row>
    <row r="32" spans="3:4" x14ac:dyDescent="0.25">
      <c r="C32" s="13"/>
      <c r="D32" s="14"/>
    </row>
    <row r="33" spans="3:4" x14ac:dyDescent="0.25">
      <c r="C33" s="13"/>
      <c r="D33" s="14"/>
    </row>
    <row r="34" spans="3:4" x14ac:dyDescent="0.25">
      <c r="C34" s="13"/>
      <c r="D34" s="14"/>
    </row>
    <row r="35" spans="3:4" x14ac:dyDescent="0.25">
      <c r="C35" s="13"/>
      <c r="D35" s="14"/>
    </row>
    <row r="36" spans="3:4" x14ac:dyDescent="0.25">
      <c r="C36" s="13"/>
      <c r="D36" s="14"/>
    </row>
    <row r="37" spans="3:4" x14ac:dyDescent="0.25">
      <c r="C37" s="13"/>
      <c r="D37" s="14"/>
    </row>
    <row r="38" spans="3:4" x14ac:dyDescent="0.25">
      <c r="C38" s="13"/>
      <c r="D38" s="14"/>
    </row>
    <row r="39" spans="3:4" x14ac:dyDescent="0.25">
      <c r="C39" s="13"/>
      <c r="D39" s="14"/>
    </row>
    <row r="40" spans="3:4" x14ac:dyDescent="0.25">
      <c r="C40" s="13"/>
      <c r="D40" s="14"/>
    </row>
    <row r="41" spans="3:4" x14ac:dyDescent="0.25">
      <c r="C41" s="13"/>
      <c r="D41" s="14"/>
    </row>
    <row r="42" spans="3:4" x14ac:dyDescent="0.25">
      <c r="C42" s="13"/>
      <c r="D42" s="14"/>
    </row>
    <row r="43" spans="3:4" x14ac:dyDescent="0.25">
      <c r="C43" s="13"/>
      <c r="D43" s="14"/>
    </row>
    <row r="44" spans="3:4" x14ac:dyDescent="0.25">
      <c r="C44" s="13"/>
      <c r="D44" s="14"/>
    </row>
    <row r="45" spans="3:4" x14ac:dyDescent="0.25">
      <c r="C45" s="13"/>
      <c r="D45" s="14"/>
    </row>
    <row r="46" spans="3:4" x14ac:dyDescent="0.25">
      <c r="C46" s="13"/>
      <c r="D46" s="14"/>
    </row>
    <row r="47" spans="3:4" x14ac:dyDescent="0.25">
      <c r="C47" s="13"/>
      <c r="D47" s="14"/>
    </row>
    <row r="48" spans="3:4" x14ac:dyDescent="0.25">
      <c r="C48" s="13"/>
      <c r="D48" s="14"/>
    </row>
    <row r="49" spans="3:4" x14ac:dyDescent="0.25">
      <c r="C49" s="13"/>
      <c r="D49" s="14"/>
    </row>
    <row r="50" spans="3:4" x14ac:dyDescent="0.25">
      <c r="C50" s="13"/>
      <c r="D50" s="14"/>
    </row>
    <row r="51" spans="3:4" x14ac:dyDescent="0.25">
      <c r="C51" s="13"/>
      <c r="D51" s="14"/>
    </row>
    <row r="52" spans="3:4" x14ac:dyDescent="0.25">
      <c r="C52" s="13"/>
      <c r="D52" s="14"/>
    </row>
    <row r="53" spans="3:4" x14ac:dyDescent="0.25">
      <c r="C53" s="13"/>
      <c r="D53" s="14"/>
    </row>
    <row r="54" spans="3:4" x14ac:dyDescent="0.25">
      <c r="C54" s="13"/>
      <c r="D54" s="14"/>
    </row>
    <row r="55" spans="3:4" x14ac:dyDescent="0.25">
      <c r="C55" s="13"/>
      <c r="D55" s="14"/>
    </row>
    <row r="56" spans="3:4" x14ac:dyDescent="0.25">
      <c r="C56" s="13"/>
      <c r="D56" s="14"/>
    </row>
    <row r="57" spans="3:4" x14ac:dyDescent="0.25">
      <c r="C57" s="13"/>
      <c r="D57" s="14"/>
    </row>
    <row r="58" spans="3:4" x14ac:dyDescent="0.25">
      <c r="C58" s="13"/>
      <c r="D58" s="14"/>
    </row>
    <row r="59" spans="3:4" x14ac:dyDescent="0.25">
      <c r="C59" s="13"/>
      <c r="D59" s="14"/>
    </row>
    <row r="60" spans="3:4" x14ac:dyDescent="0.25">
      <c r="C60" s="13"/>
      <c r="D60" s="14"/>
    </row>
    <row r="61" spans="3:4" x14ac:dyDescent="0.25">
      <c r="C61" s="13"/>
      <c r="D61" s="14"/>
    </row>
    <row r="62" spans="3:4" x14ac:dyDescent="0.25">
      <c r="C62" s="13"/>
      <c r="D62" s="14"/>
    </row>
    <row r="63" spans="3:4" x14ac:dyDescent="0.25">
      <c r="C63" s="13"/>
      <c r="D63" s="14"/>
    </row>
    <row r="64" spans="3:4" x14ac:dyDescent="0.25">
      <c r="C64" s="13"/>
      <c r="D64" s="14"/>
    </row>
    <row r="65" spans="3:4" x14ac:dyDescent="0.25">
      <c r="C65" s="13"/>
      <c r="D65" s="14"/>
    </row>
    <row r="66" spans="3:4" x14ac:dyDescent="0.25">
      <c r="C66" s="13"/>
      <c r="D66" s="14"/>
    </row>
    <row r="67" spans="3:4" x14ac:dyDescent="0.25">
      <c r="C67" s="13"/>
      <c r="D67" s="14"/>
    </row>
    <row r="68" spans="3:4" x14ac:dyDescent="0.25">
      <c r="C68" s="13"/>
      <c r="D68" s="14"/>
    </row>
    <row r="69" spans="3:4" x14ac:dyDescent="0.25">
      <c r="C69" s="13"/>
      <c r="D69" s="14"/>
    </row>
    <row r="70" spans="3:4" x14ac:dyDescent="0.25">
      <c r="C70" s="13"/>
      <c r="D70" s="14"/>
    </row>
    <row r="71" spans="3:4" x14ac:dyDescent="0.25">
      <c r="C71" s="13"/>
      <c r="D71" s="14"/>
    </row>
    <row r="72" spans="3:4" x14ac:dyDescent="0.25">
      <c r="C72" s="13"/>
      <c r="D72" s="14"/>
    </row>
    <row r="73" spans="3:4" x14ac:dyDescent="0.25">
      <c r="C73" s="13"/>
      <c r="D73" s="14"/>
    </row>
    <row r="74" spans="3:4" x14ac:dyDescent="0.25">
      <c r="C74" s="13"/>
      <c r="D74" s="14"/>
    </row>
    <row r="75" spans="3:4" x14ac:dyDescent="0.25">
      <c r="C75" s="13"/>
      <c r="D75" s="14"/>
    </row>
    <row r="76" spans="3:4" x14ac:dyDescent="0.25">
      <c r="C76" s="13"/>
      <c r="D76" s="14"/>
    </row>
    <row r="77" spans="3:4" x14ac:dyDescent="0.25">
      <c r="C77" s="13"/>
      <c r="D77" s="14"/>
    </row>
    <row r="78" spans="3:4" x14ac:dyDescent="0.25">
      <c r="C78" s="13"/>
      <c r="D78" s="14"/>
    </row>
    <row r="79" spans="3:4" x14ac:dyDescent="0.25">
      <c r="C79" s="13"/>
      <c r="D79" s="14"/>
    </row>
    <row r="80" spans="3:4" x14ac:dyDescent="0.25">
      <c r="C80" s="13"/>
      <c r="D80" s="14"/>
    </row>
    <row r="81" spans="1:4" x14ac:dyDescent="0.25">
      <c r="C81" s="13"/>
      <c r="D81" s="14"/>
    </row>
    <row r="82" spans="1:4" x14ac:dyDescent="0.25">
      <c r="C82" s="13"/>
      <c r="D82" s="14"/>
    </row>
    <row r="83" spans="1:4" x14ac:dyDescent="0.25">
      <c r="C83" s="13"/>
      <c r="D83" s="14"/>
    </row>
    <row r="84" spans="1:4" x14ac:dyDescent="0.25">
      <c r="C84" s="13"/>
      <c r="D84" s="14"/>
    </row>
    <row r="85" spans="1:4" x14ac:dyDescent="0.25">
      <c r="C85" s="13"/>
      <c r="D85" s="14"/>
    </row>
    <row r="86" spans="1:4" x14ac:dyDescent="0.25">
      <c r="C86" s="13"/>
      <c r="D86" s="14"/>
    </row>
    <row r="87" spans="1:4" x14ac:dyDescent="0.25">
      <c r="C87" s="13"/>
      <c r="D87" s="14"/>
    </row>
    <row r="88" spans="1:4" x14ac:dyDescent="0.25">
      <c r="C88" s="13"/>
      <c r="D88" s="14"/>
    </row>
    <row r="89" spans="1:4" x14ac:dyDescent="0.25">
      <c r="C89" s="13"/>
      <c r="D89" s="14"/>
    </row>
    <row r="90" spans="1:4" x14ac:dyDescent="0.25">
      <c r="C90" s="13"/>
      <c r="D90" s="14"/>
    </row>
    <row r="91" spans="1:4" x14ac:dyDescent="0.25">
      <c r="C91" s="13"/>
      <c r="D91" s="14"/>
    </row>
    <row r="92" spans="1:4" x14ac:dyDescent="0.25">
      <c r="C92" s="13"/>
      <c r="D92" s="14"/>
    </row>
    <row r="93" spans="1:4" x14ac:dyDescent="0.25">
      <c r="A93" s="15"/>
      <c r="C93" s="13"/>
      <c r="D93" s="14"/>
    </row>
    <row r="94" spans="1:4" x14ac:dyDescent="0.25">
      <c r="C94" s="13"/>
      <c r="D94" s="14"/>
    </row>
    <row r="95" spans="1:4" x14ac:dyDescent="0.25">
      <c r="C95" s="13"/>
      <c r="D95" s="14"/>
    </row>
    <row r="96" spans="1:4" x14ac:dyDescent="0.25">
      <c r="C96" s="13"/>
      <c r="D96" s="14"/>
    </row>
    <row r="97" spans="1:4" x14ac:dyDescent="0.25">
      <c r="A97" s="15"/>
      <c r="C97" s="13"/>
      <c r="D97" s="14"/>
    </row>
    <row r="98" spans="1:4" x14ac:dyDescent="0.25">
      <c r="A98" s="15"/>
      <c r="C98" s="13"/>
      <c r="D98" s="14"/>
    </row>
    <row r="99" spans="1:4" x14ac:dyDescent="0.25">
      <c r="C99" s="13"/>
      <c r="D99" s="14"/>
    </row>
    <row r="100" spans="1:4" x14ac:dyDescent="0.25">
      <c r="C100" s="13"/>
      <c r="D100" s="14"/>
    </row>
    <row r="101" spans="1:4" x14ac:dyDescent="0.25">
      <c r="C101" s="13"/>
      <c r="D101" s="14"/>
    </row>
    <row r="102" spans="1:4" x14ac:dyDescent="0.25">
      <c r="C102" s="13"/>
      <c r="D102" s="14"/>
    </row>
    <row r="103" spans="1:4" x14ac:dyDescent="0.25">
      <c r="C103" s="13"/>
      <c r="D103" s="14"/>
    </row>
    <row r="104" spans="1:4" x14ac:dyDescent="0.25">
      <c r="A104" s="16"/>
      <c r="C104" s="13"/>
      <c r="D104" s="14"/>
    </row>
    <row r="105" spans="1:4" x14ac:dyDescent="0.25">
      <c r="C105" s="13"/>
      <c r="D105" s="14"/>
    </row>
    <row r="106" spans="1:4" x14ac:dyDescent="0.25">
      <c r="C106" s="13"/>
      <c r="D106" s="14"/>
    </row>
    <row r="107" spans="1:4" x14ac:dyDescent="0.25">
      <c r="C107" s="13"/>
      <c r="D107" s="14"/>
    </row>
    <row r="108" spans="1:4" x14ac:dyDescent="0.25">
      <c r="C108" s="13"/>
      <c r="D108" s="14"/>
    </row>
    <row r="109" spans="1:4" x14ac:dyDescent="0.25">
      <c r="C109" s="13"/>
      <c r="D109" s="14"/>
    </row>
    <row r="110" spans="1:4" x14ac:dyDescent="0.25">
      <c r="C110" s="13"/>
      <c r="D110" s="14"/>
    </row>
    <row r="111" spans="1:4" x14ac:dyDescent="0.25">
      <c r="C111" s="13"/>
      <c r="D111" s="14"/>
    </row>
    <row r="112" spans="1:4" x14ac:dyDescent="0.25">
      <c r="C112" s="13"/>
      <c r="D112" s="14"/>
    </row>
    <row r="113" spans="3:4" x14ac:dyDescent="0.25">
      <c r="C113" s="13"/>
      <c r="D113" s="14"/>
    </row>
    <row r="114" spans="3:4" x14ac:dyDescent="0.25">
      <c r="C114" s="13"/>
      <c r="D114" s="14"/>
    </row>
    <row r="115" spans="3:4" x14ac:dyDescent="0.25">
      <c r="C115" s="13"/>
      <c r="D115" s="14"/>
    </row>
    <row r="116" spans="3:4" x14ac:dyDescent="0.25">
      <c r="C116" s="13"/>
      <c r="D116" s="14"/>
    </row>
    <row r="117" spans="3:4" x14ac:dyDescent="0.25">
      <c r="C117" s="13"/>
      <c r="D117" s="14"/>
    </row>
    <row r="118" spans="3:4" x14ac:dyDescent="0.25">
      <c r="C118" s="13"/>
      <c r="D118" s="14"/>
    </row>
    <row r="119" spans="3:4" x14ac:dyDescent="0.25">
      <c r="C119" s="13"/>
      <c r="D119" s="14"/>
    </row>
    <row r="120" spans="3:4" x14ac:dyDescent="0.25">
      <c r="C120" s="13"/>
      <c r="D120" s="14"/>
    </row>
    <row r="121" spans="3:4" x14ac:dyDescent="0.25">
      <c r="C121" s="13"/>
      <c r="D121" s="14"/>
    </row>
    <row r="122" spans="3:4" x14ac:dyDescent="0.25">
      <c r="C122" s="13"/>
      <c r="D122" s="14"/>
    </row>
    <row r="123" spans="3:4" x14ac:dyDescent="0.25">
      <c r="C123" s="13"/>
      <c r="D123" s="14"/>
    </row>
    <row r="124" spans="3:4" x14ac:dyDescent="0.25">
      <c r="C124" s="13"/>
      <c r="D124" s="14"/>
    </row>
    <row r="125" spans="3:4" x14ac:dyDescent="0.25">
      <c r="C125" s="13"/>
      <c r="D125" s="14"/>
    </row>
    <row r="126" spans="3:4" x14ac:dyDescent="0.25">
      <c r="C126" s="13"/>
      <c r="D126" s="14"/>
    </row>
    <row r="127" spans="3:4" x14ac:dyDescent="0.25">
      <c r="C127" s="13"/>
      <c r="D127" s="14"/>
    </row>
    <row r="128" spans="3:4" x14ac:dyDescent="0.25">
      <c r="C128" s="13"/>
      <c r="D128" s="14"/>
    </row>
    <row r="129" spans="3:4" x14ac:dyDescent="0.25">
      <c r="C129" s="13"/>
      <c r="D129" s="14"/>
    </row>
    <row r="130" spans="3:4" x14ac:dyDescent="0.25">
      <c r="C130" s="13"/>
      <c r="D130" s="14"/>
    </row>
    <row r="131" spans="3:4" x14ac:dyDescent="0.25">
      <c r="C131" s="13"/>
      <c r="D131" s="14"/>
    </row>
    <row r="132" spans="3:4" x14ac:dyDescent="0.25">
      <c r="C132" s="13"/>
      <c r="D132" s="14"/>
    </row>
    <row r="133" spans="3:4" x14ac:dyDescent="0.25">
      <c r="C133" s="13"/>
      <c r="D133" s="14"/>
    </row>
    <row r="134" spans="3:4" x14ac:dyDescent="0.25">
      <c r="C134" s="13"/>
      <c r="D134" s="14"/>
    </row>
    <row r="135" spans="3:4" x14ac:dyDescent="0.25">
      <c r="C135" s="13"/>
      <c r="D135" s="14"/>
    </row>
    <row r="136" spans="3:4" x14ac:dyDescent="0.25">
      <c r="C136" s="13"/>
      <c r="D136" s="14"/>
    </row>
    <row r="137" spans="3:4" x14ac:dyDescent="0.25">
      <c r="C137" s="13"/>
      <c r="D137" s="14"/>
    </row>
    <row r="138" spans="3:4" x14ac:dyDescent="0.25">
      <c r="C138" s="13"/>
      <c r="D138" s="14"/>
    </row>
    <row r="139" spans="3:4" x14ac:dyDescent="0.25">
      <c r="C139" s="13"/>
      <c r="D139" s="14"/>
    </row>
    <row r="140" spans="3:4" x14ac:dyDescent="0.25">
      <c r="C140" s="13"/>
      <c r="D140" s="14"/>
    </row>
    <row r="141" spans="3:4" x14ac:dyDescent="0.25">
      <c r="C141" s="13"/>
      <c r="D141" s="14"/>
    </row>
    <row r="142" spans="3:4" x14ac:dyDescent="0.25">
      <c r="C142" s="13"/>
      <c r="D142" s="14"/>
    </row>
    <row r="143" spans="3:4" x14ac:dyDescent="0.25">
      <c r="C143" s="13"/>
      <c r="D143" s="14"/>
    </row>
    <row r="144" spans="3:4" x14ac:dyDescent="0.25">
      <c r="C144" s="13"/>
      <c r="D144" s="14"/>
    </row>
    <row r="145" spans="3:4" x14ac:dyDescent="0.25">
      <c r="C145" s="13"/>
      <c r="D145" s="14"/>
    </row>
    <row r="146" spans="3:4" x14ac:dyDescent="0.25">
      <c r="C146" s="13"/>
      <c r="D146" s="14"/>
    </row>
    <row r="147" spans="3:4" x14ac:dyDescent="0.25">
      <c r="C147" s="13"/>
      <c r="D147" s="14"/>
    </row>
    <row r="148" spans="3:4" x14ac:dyDescent="0.25">
      <c r="C148" s="13"/>
      <c r="D148" s="14"/>
    </row>
    <row r="149" spans="3:4" x14ac:dyDescent="0.25">
      <c r="C149" s="13"/>
      <c r="D149" s="14"/>
    </row>
    <row r="150" spans="3:4" x14ac:dyDescent="0.25">
      <c r="C150" s="13"/>
      <c r="D150" s="14"/>
    </row>
    <row r="151" spans="3:4" x14ac:dyDescent="0.25">
      <c r="C151" s="13"/>
      <c r="D151" s="14"/>
    </row>
    <row r="152" spans="3:4" x14ac:dyDescent="0.25">
      <c r="C152" s="13"/>
      <c r="D152" s="14"/>
    </row>
    <row r="153" spans="3:4" x14ac:dyDescent="0.25">
      <c r="C153" s="13"/>
      <c r="D153" s="14"/>
    </row>
    <row r="154" spans="3:4" x14ac:dyDescent="0.25">
      <c r="C154" s="13"/>
      <c r="D154" s="14"/>
    </row>
    <row r="155" spans="3:4" x14ac:dyDescent="0.25">
      <c r="C155" s="13"/>
      <c r="D155" s="14"/>
    </row>
    <row r="156" spans="3:4" x14ac:dyDescent="0.25">
      <c r="C156" s="13"/>
      <c r="D156" s="14"/>
    </row>
    <row r="157" spans="3:4" x14ac:dyDescent="0.25">
      <c r="C157" s="13"/>
      <c r="D157" s="14"/>
    </row>
    <row r="158" spans="3:4" x14ac:dyDescent="0.25">
      <c r="C158" s="13"/>
      <c r="D158" s="14"/>
    </row>
    <row r="159" spans="3:4" x14ac:dyDescent="0.25">
      <c r="C159" s="13"/>
      <c r="D159" s="14"/>
    </row>
    <row r="160" spans="3:4" x14ac:dyDescent="0.25">
      <c r="C160" s="13"/>
      <c r="D160" s="14"/>
    </row>
    <row r="161" spans="3:4" x14ac:dyDescent="0.25">
      <c r="C161" s="13"/>
      <c r="D161" s="14"/>
    </row>
    <row r="162" spans="3:4" x14ac:dyDescent="0.25">
      <c r="C162" s="13"/>
      <c r="D162" s="14"/>
    </row>
    <row r="163" spans="3:4" x14ac:dyDescent="0.25">
      <c r="C163" s="13"/>
      <c r="D163" s="14"/>
    </row>
    <row r="164" spans="3:4" x14ac:dyDescent="0.25">
      <c r="C164" s="13"/>
      <c r="D164" s="14"/>
    </row>
    <row r="165" spans="3:4" x14ac:dyDescent="0.25">
      <c r="C165" s="13"/>
      <c r="D165" s="14"/>
    </row>
    <row r="166" spans="3:4" x14ac:dyDescent="0.25">
      <c r="C166" s="13"/>
      <c r="D166" s="14"/>
    </row>
    <row r="167" spans="3:4" x14ac:dyDescent="0.25">
      <c r="C167" s="13"/>
      <c r="D167" s="14"/>
    </row>
    <row r="168" spans="3:4" x14ac:dyDescent="0.25">
      <c r="C168" s="13"/>
      <c r="D168" s="14"/>
    </row>
    <row r="169" spans="3:4" x14ac:dyDescent="0.25">
      <c r="C169" s="13"/>
      <c r="D169" s="14"/>
    </row>
    <row r="170" spans="3:4" x14ac:dyDescent="0.25">
      <c r="C170" s="13"/>
      <c r="D170" s="14"/>
    </row>
    <row r="171" spans="3:4" x14ac:dyDescent="0.25">
      <c r="C171" s="13"/>
      <c r="D171" s="14"/>
    </row>
    <row r="172" spans="3:4" x14ac:dyDescent="0.25">
      <c r="C172" s="13"/>
      <c r="D172" s="14"/>
    </row>
    <row r="173" spans="3:4" x14ac:dyDescent="0.25">
      <c r="C173" s="13"/>
      <c r="D173" s="14"/>
    </row>
    <row r="174" spans="3:4" x14ac:dyDescent="0.25">
      <c r="C174" s="13"/>
      <c r="D174" s="14"/>
    </row>
    <row r="175" spans="3:4" x14ac:dyDescent="0.25">
      <c r="C175" s="13"/>
      <c r="D175" s="14"/>
    </row>
    <row r="176" spans="3:4" x14ac:dyDescent="0.25">
      <c r="C176" s="13"/>
      <c r="D176" s="14"/>
    </row>
    <row r="177" spans="3:7" x14ac:dyDescent="0.25">
      <c r="C177" s="13"/>
      <c r="D177" s="14"/>
    </row>
    <row r="178" spans="3:7" x14ac:dyDescent="0.25">
      <c r="C178" s="13"/>
      <c r="D178" s="14"/>
    </row>
    <row r="179" spans="3:7" x14ac:dyDescent="0.25">
      <c r="C179" s="13"/>
      <c r="D179" s="14"/>
    </row>
    <row r="180" spans="3:7" x14ac:dyDescent="0.25">
      <c r="C180" s="13"/>
      <c r="D180" s="14"/>
    </row>
    <row r="181" spans="3:7" x14ac:dyDescent="0.25">
      <c r="C181" s="13"/>
      <c r="D181" s="14"/>
    </row>
    <row r="182" spans="3:7" x14ac:dyDescent="0.25">
      <c r="C182" s="13"/>
      <c r="D182" s="14"/>
      <c r="F182" s="13"/>
      <c r="G182" s="18"/>
    </row>
    <row r="183" spans="3:7" x14ac:dyDescent="0.25">
      <c r="C183" s="13"/>
      <c r="D183" s="14"/>
    </row>
    <row r="184" spans="3:7" x14ac:dyDescent="0.25">
      <c r="C184" s="13"/>
      <c r="D184" s="14"/>
    </row>
    <row r="185" spans="3:7" x14ac:dyDescent="0.25">
      <c r="C185" s="13"/>
      <c r="D185" s="14"/>
    </row>
    <row r="186" spans="3:7" x14ac:dyDescent="0.25">
      <c r="C186" s="13"/>
      <c r="D186" s="14"/>
    </row>
    <row r="187" spans="3:7" x14ac:dyDescent="0.25">
      <c r="C187" s="13"/>
      <c r="D187" s="14"/>
    </row>
    <row r="188" spans="3:7" x14ac:dyDescent="0.25">
      <c r="C188" s="13"/>
      <c r="D188" s="14"/>
    </row>
    <row r="189" spans="3:7" x14ac:dyDescent="0.25">
      <c r="C189" s="13"/>
      <c r="D189" s="14"/>
    </row>
    <row r="190" spans="3:7" x14ac:dyDescent="0.25">
      <c r="C190" s="13"/>
      <c r="D190" s="14"/>
    </row>
    <row r="191" spans="3:7" x14ac:dyDescent="0.25">
      <c r="C191" s="13"/>
      <c r="D191" s="14"/>
    </row>
    <row r="192" spans="3:7" x14ac:dyDescent="0.25">
      <c r="C192" s="13"/>
      <c r="D192" s="14"/>
    </row>
    <row r="193" spans="3:4" x14ac:dyDescent="0.25">
      <c r="C193" s="13"/>
      <c r="D193" s="14"/>
    </row>
    <row r="194" spans="3:4" x14ac:dyDescent="0.25">
      <c r="C194" s="13"/>
      <c r="D194" s="14"/>
    </row>
    <row r="195" spans="3:4" x14ac:dyDescent="0.25">
      <c r="C195" s="13"/>
      <c r="D195" s="14"/>
    </row>
    <row r="196" spans="3:4" x14ac:dyDescent="0.25">
      <c r="C196" s="13"/>
      <c r="D196" s="14"/>
    </row>
    <row r="197" spans="3:4" x14ac:dyDescent="0.25">
      <c r="C197" s="13"/>
      <c r="D197" s="14"/>
    </row>
    <row r="198" spans="3:4" x14ac:dyDescent="0.25">
      <c r="C198" s="13"/>
      <c r="D198" s="14"/>
    </row>
    <row r="199" spans="3:4" x14ac:dyDescent="0.25">
      <c r="C199" s="13"/>
      <c r="D199" s="14"/>
    </row>
    <row r="200" spans="3:4" x14ac:dyDescent="0.25">
      <c r="C200" s="13"/>
      <c r="D200" s="14"/>
    </row>
    <row r="201" spans="3:4" x14ac:dyDescent="0.25">
      <c r="C201" s="13"/>
      <c r="D201" s="14"/>
    </row>
    <row r="202" spans="3:4" x14ac:dyDescent="0.25">
      <c r="C202" s="13"/>
      <c r="D202" s="14"/>
    </row>
    <row r="203" spans="3:4" x14ac:dyDescent="0.25">
      <c r="C203" s="13"/>
      <c r="D203" s="14"/>
    </row>
    <row r="204" spans="3:4" x14ac:dyDescent="0.25">
      <c r="C204" s="13"/>
      <c r="D204" s="14"/>
    </row>
    <row r="205" spans="3:4" x14ac:dyDescent="0.25">
      <c r="C205" s="13"/>
      <c r="D205" s="14"/>
    </row>
    <row r="206" spans="3:4" x14ac:dyDescent="0.25">
      <c r="C206" s="13"/>
      <c r="D206" s="14"/>
    </row>
    <row r="207" spans="3:4" x14ac:dyDescent="0.25">
      <c r="C207" s="13"/>
      <c r="D207" s="14"/>
    </row>
    <row r="208" spans="3:4" x14ac:dyDescent="0.25">
      <c r="C208" s="13"/>
      <c r="D208" s="14"/>
    </row>
    <row r="209" spans="1:4" x14ac:dyDescent="0.25">
      <c r="C209" s="13"/>
      <c r="D209" s="14"/>
    </row>
    <row r="210" spans="1:4" x14ac:dyDescent="0.25">
      <c r="C210" s="13"/>
      <c r="D210" s="14"/>
    </row>
    <row r="211" spans="1:4" x14ac:dyDescent="0.25">
      <c r="C211" s="13"/>
      <c r="D211" s="14"/>
    </row>
    <row r="212" spans="1:4" x14ac:dyDescent="0.25">
      <c r="C212" s="13"/>
      <c r="D212" s="14"/>
    </row>
    <row r="213" spans="1:4" x14ac:dyDescent="0.25">
      <c r="C213" s="13"/>
      <c r="D213" s="14"/>
    </row>
    <row r="214" spans="1:4" x14ac:dyDescent="0.25">
      <c r="C214" s="13"/>
      <c r="D214" s="14"/>
    </row>
    <row r="215" spans="1:4" x14ac:dyDescent="0.25">
      <c r="C215" s="13"/>
      <c r="D215" s="14"/>
    </row>
    <row r="216" spans="1:4" x14ac:dyDescent="0.25">
      <c r="C216" s="13"/>
      <c r="D216" s="14"/>
    </row>
    <row r="217" spans="1:4" x14ac:dyDescent="0.25">
      <c r="C217" s="13"/>
      <c r="D217" s="14"/>
    </row>
    <row r="218" spans="1:4" x14ac:dyDescent="0.25">
      <c r="C218" s="13"/>
      <c r="D218" s="14"/>
    </row>
    <row r="219" spans="1:4" x14ac:dyDescent="0.25">
      <c r="C219" s="13"/>
      <c r="D219" s="14"/>
    </row>
    <row r="220" spans="1:4" x14ac:dyDescent="0.25">
      <c r="C220" s="13"/>
      <c r="D220" s="14"/>
    </row>
    <row r="221" spans="1:4" x14ac:dyDescent="0.25">
      <c r="C221" s="13"/>
      <c r="D221" s="14"/>
    </row>
    <row r="222" spans="1:4" x14ac:dyDescent="0.25">
      <c r="A222" s="15"/>
      <c r="C222" s="13"/>
      <c r="D222" s="14"/>
    </row>
    <row r="223" spans="1:4" x14ac:dyDescent="0.25">
      <c r="C223" s="13"/>
      <c r="D223" s="14"/>
    </row>
    <row r="224" spans="1:4" x14ac:dyDescent="0.25">
      <c r="C224" s="13"/>
      <c r="D224" s="14"/>
    </row>
    <row r="225" spans="3:4" x14ac:dyDescent="0.25">
      <c r="C225" s="13"/>
      <c r="D225" s="14"/>
    </row>
    <row r="226" spans="3:4" x14ac:dyDescent="0.25">
      <c r="C226" s="13"/>
      <c r="D226" s="14"/>
    </row>
    <row r="227" spans="3:4" x14ac:dyDescent="0.25">
      <c r="C227" s="13"/>
      <c r="D227" s="14"/>
    </row>
    <row r="228" spans="3:4" x14ac:dyDescent="0.25">
      <c r="C228" s="13"/>
      <c r="D228" s="14"/>
    </row>
    <row r="229" spans="3:4" x14ac:dyDescent="0.25">
      <c r="C229" s="13"/>
      <c r="D229" s="14"/>
    </row>
    <row r="230" spans="3:4" x14ac:dyDescent="0.25">
      <c r="C230" s="13"/>
      <c r="D230" s="14"/>
    </row>
    <row r="231" spans="3:4" x14ac:dyDescent="0.25">
      <c r="C231" s="13"/>
      <c r="D231" s="14"/>
    </row>
    <row r="232" spans="3:4" x14ac:dyDescent="0.25">
      <c r="C232" s="13"/>
      <c r="D232" s="14"/>
    </row>
    <row r="233" spans="3:4" x14ac:dyDescent="0.25">
      <c r="C233" s="13"/>
      <c r="D233" s="14"/>
    </row>
    <row r="234" spans="3:4" x14ac:dyDescent="0.25">
      <c r="C234" s="13"/>
      <c r="D234" s="14"/>
    </row>
    <row r="235" spans="3:4" x14ac:dyDescent="0.25">
      <c r="C235" s="13"/>
      <c r="D235" s="14"/>
    </row>
    <row r="236" spans="3:4" x14ac:dyDescent="0.25">
      <c r="C236" s="13"/>
      <c r="D236" s="14"/>
    </row>
    <row r="237" spans="3:4" x14ac:dyDescent="0.25">
      <c r="C237" s="13"/>
      <c r="D237" s="14"/>
    </row>
    <row r="238" spans="3:4" x14ac:dyDescent="0.25">
      <c r="C238" s="13"/>
      <c r="D238" s="14"/>
    </row>
    <row r="239" spans="3:4" x14ac:dyDescent="0.25">
      <c r="C239" s="13"/>
      <c r="D239" s="14"/>
    </row>
    <row r="240" spans="3:4" x14ac:dyDescent="0.25">
      <c r="C240" s="13"/>
      <c r="D240" s="14"/>
    </row>
    <row r="241" spans="3:4" x14ac:dyDescent="0.25">
      <c r="C241" s="13"/>
      <c r="D241" s="14"/>
    </row>
    <row r="242" spans="3:4" x14ac:dyDescent="0.25">
      <c r="C242" s="13"/>
      <c r="D242" s="14"/>
    </row>
    <row r="243" spans="3:4" x14ac:dyDescent="0.25">
      <c r="C243" s="13"/>
      <c r="D243" s="14"/>
    </row>
    <row r="244" spans="3:4" x14ac:dyDescent="0.25">
      <c r="C244" s="13"/>
      <c r="D244" s="14"/>
    </row>
    <row r="245" spans="3:4" x14ac:dyDescent="0.25">
      <c r="C245" s="13"/>
      <c r="D245" s="14"/>
    </row>
    <row r="246" spans="3:4" x14ac:dyDescent="0.25">
      <c r="C246" s="13"/>
      <c r="D246" s="14"/>
    </row>
    <row r="247" spans="3:4" x14ac:dyDescent="0.25">
      <c r="C247" s="13"/>
      <c r="D247" s="14"/>
    </row>
    <row r="248" spans="3:4" x14ac:dyDescent="0.25">
      <c r="C248" s="13"/>
      <c r="D248" s="14"/>
    </row>
    <row r="249" spans="3:4" x14ac:dyDescent="0.25">
      <c r="C249" s="13"/>
      <c r="D249" s="14"/>
    </row>
    <row r="250" spans="3:4" x14ac:dyDescent="0.25">
      <c r="C250" s="13"/>
      <c r="D250" s="14"/>
    </row>
    <row r="251" spans="3:4" x14ac:dyDescent="0.25">
      <c r="C251" s="13"/>
      <c r="D251" s="14"/>
    </row>
    <row r="252" spans="3:4" x14ac:dyDescent="0.25">
      <c r="C252" s="13"/>
      <c r="D252" s="14"/>
    </row>
    <row r="253" spans="3:4" x14ac:dyDescent="0.25">
      <c r="C253" s="13"/>
      <c r="D253" s="14"/>
    </row>
    <row r="254" spans="3:4" x14ac:dyDescent="0.25">
      <c r="C254" s="13"/>
      <c r="D254" s="14"/>
    </row>
    <row r="255" spans="3:4" x14ac:dyDescent="0.25">
      <c r="C255" s="13"/>
      <c r="D255" s="14"/>
    </row>
    <row r="256" spans="3:4" x14ac:dyDescent="0.25">
      <c r="C256" s="13"/>
      <c r="D256" s="14"/>
    </row>
    <row r="257" spans="3:4" x14ac:dyDescent="0.25">
      <c r="C257" s="13"/>
      <c r="D257" s="14"/>
    </row>
    <row r="258" spans="3:4" x14ac:dyDescent="0.25">
      <c r="C258" s="13"/>
      <c r="D258" s="14"/>
    </row>
    <row r="259" spans="3:4" x14ac:dyDescent="0.25">
      <c r="C259" s="13"/>
      <c r="D259" s="14"/>
    </row>
    <row r="260" spans="3:4" x14ac:dyDescent="0.25">
      <c r="C260" s="13"/>
      <c r="D260" s="14"/>
    </row>
    <row r="261" spans="3:4" x14ac:dyDescent="0.25">
      <c r="C261" s="13"/>
      <c r="D261" s="14"/>
    </row>
    <row r="262" spans="3:4" x14ac:dyDescent="0.25">
      <c r="C262" s="13"/>
      <c r="D262" s="14"/>
    </row>
    <row r="263" spans="3:4" x14ac:dyDescent="0.25">
      <c r="C263" s="13"/>
      <c r="D263" s="14"/>
    </row>
    <row r="264" spans="3:4" x14ac:dyDescent="0.25">
      <c r="C264" s="13"/>
      <c r="D264" s="14"/>
    </row>
    <row r="265" spans="3:4" x14ac:dyDescent="0.25">
      <c r="C265" s="13"/>
      <c r="D265" s="14"/>
    </row>
    <row r="266" spans="3:4" x14ac:dyDescent="0.25">
      <c r="C266" s="13"/>
      <c r="D266" s="14"/>
    </row>
    <row r="267" spans="3:4" x14ac:dyDescent="0.25">
      <c r="C267" s="13"/>
      <c r="D267" s="14"/>
    </row>
    <row r="268" spans="3:4" x14ac:dyDescent="0.25">
      <c r="C268" s="13"/>
      <c r="D268" s="14"/>
    </row>
    <row r="269" spans="3:4" x14ac:dyDescent="0.25">
      <c r="C269" s="13"/>
      <c r="D269" s="14"/>
    </row>
    <row r="270" spans="3:4" x14ac:dyDescent="0.25">
      <c r="C270" s="13"/>
      <c r="D270" s="14"/>
    </row>
    <row r="271" spans="3:4" x14ac:dyDescent="0.25">
      <c r="C271" s="13"/>
      <c r="D271" s="14"/>
    </row>
    <row r="272" spans="3:4" x14ac:dyDescent="0.25">
      <c r="C272" s="13"/>
      <c r="D272" s="14"/>
    </row>
    <row r="273" spans="3:4" x14ac:dyDescent="0.25">
      <c r="C273" s="13"/>
      <c r="D273" s="14"/>
    </row>
    <row r="274" spans="3:4" x14ac:dyDescent="0.25">
      <c r="C274" s="13"/>
      <c r="D274" s="14"/>
    </row>
    <row r="275" spans="3:4" x14ac:dyDescent="0.25">
      <c r="C275" s="13"/>
      <c r="D275" s="14"/>
    </row>
    <row r="276" spans="3:4" x14ac:dyDescent="0.25">
      <c r="C276" s="13"/>
      <c r="D276" s="14"/>
    </row>
    <row r="277" spans="3:4" x14ac:dyDescent="0.25">
      <c r="C277" s="13"/>
      <c r="D277" s="14"/>
    </row>
    <row r="278" spans="3:4" x14ac:dyDescent="0.25">
      <c r="C278" s="13"/>
      <c r="D278" s="14"/>
    </row>
    <row r="279" spans="3:4" x14ac:dyDescent="0.25">
      <c r="C279" s="13"/>
      <c r="D279" s="14"/>
    </row>
    <row r="280" spans="3:4" x14ac:dyDescent="0.25">
      <c r="C280" s="13"/>
      <c r="D280" s="14"/>
    </row>
    <row r="281" spans="3:4" x14ac:dyDescent="0.25">
      <c r="C281" s="13"/>
      <c r="D281" s="14"/>
    </row>
    <row r="282" spans="3:4" x14ac:dyDescent="0.25">
      <c r="C282" s="13"/>
      <c r="D282" s="14"/>
    </row>
    <row r="283" spans="3:4" x14ac:dyDescent="0.25">
      <c r="C283" s="13"/>
      <c r="D283" s="14"/>
    </row>
    <row r="284" spans="3:4" x14ac:dyDescent="0.25">
      <c r="C284" s="13"/>
      <c r="D284" s="14"/>
    </row>
    <row r="285" spans="3:4" x14ac:dyDescent="0.25">
      <c r="C285" s="13"/>
      <c r="D285" s="14"/>
    </row>
    <row r="286" spans="3:4" x14ac:dyDescent="0.25">
      <c r="C286" s="13"/>
      <c r="D286" s="14"/>
    </row>
    <row r="287" spans="3:4" x14ac:dyDescent="0.25">
      <c r="C287" s="13"/>
      <c r="D287" s="14"/>
    </row>
    <row r="288" spans="3:4" x14ac:dyDescent="0.25">
      <c r="C288" s="13"/>
      <c r="D288" s="14"/>
    </row>
    <row r="289" spans="3:4" x14ac:dyDescent="0.25">
      <c r="C289" s="13"/>
      <c r="D289" s="14"/>
    </row>
    <row r="290" spans="3:4" x14ac:dyDescent="0.25">
      <c r="C290" s="13"/>
      <c r="D290" s="14"/>
    </row>
    <row r="291" spans="3:4" x14ac:dyDescent="0.25">
      <c r="C291" s="13"/>
      <c r="D291" s="14"/>
    </row>
    <row r="292" spans="3:4" x14ac:dyDescent="0.25">
      <c r="C292" s="13"/>
      <c r="D292" s="14"/>
    </row>
    <row r="293" spans="3:4" x14ac:dyDescent="0.25">
      <c r="C293" s="13"/>
      <c r="D293" s="14"/>
    </row>
    <row r="294" spans="3:4" x14ac:dyDescent="0.25">
      <c r="C294" s="13"/>
      <c r="D294" s="14"/>
    </row>
    <row r="295" spans="3:4" x14ac:dyDescent="0.25">
      <c r="C295" s="13"/>
      <c r="D295" s="14"/>
    </row>
    <row r="296" spans="3:4" x14ac:dyDescent="0.25">
      <c r="C296" s="13"/>
      <c r="D296" s="14"/>
    </row>
    <row r="297" spans="3:4" x14ac:dyDescent="0.25">
      <c r="C297" s="13"/>
      <c r="D297" s="14"/>
    </row>
    <row r="298" spans="3:4" x14ac:dyDescent="0.25">
      <c r="C298" s="13"/>
      <c r="D298" s="14"/>
    </row>
    <row r="299" spans="3:4" x14ac:dyDescent="0.25">
      <c r="C299" s="13"/>
      <c r="D299" s="14"/>
    </row>
    <row r="300" spans="3:4" x14ac:dyDescent="0.25">
      <c r="C300" s="13"/>
      <c r="D300" s="14"/>
    </row>
    <row r="301" spans="3:4" x14ac:dyDescent="0.25">
      <c r="C301" s="13"/>
      <c r="D301" s="14"/>
    </row>
    <row r="302" spans="3:4" x14ac:dyDescent="0.25">
      <c r="C302" s="13"/>
      <c r="D302" s="14"/>
    </row>
    <row r="303" spans="3:4" x14ac:dyDescent="0.25">
      <c r="C303" s="13"/>
      <c r="D303" s="14"/>
    </row>
    <row r="304" spans="3:4" x14ac:dyDescent="0.25">
      <c r="C304" s="13"/>
      <c r="D304" s="14"/>
    </row>
    <row r="305" spans="3:4" x14ac:dyDescent="0.25">
      <c r="C305" s="13"/>
      <c r="D305" s="14"/>
    </row>
    <row r="306" spans="3:4" x14ac:dyDescent="0.25">
      <c r="C306" s="13"/>
      <c r="D306" s="14"/>
    </row>
    <row r="307" spans="3:4" x14ac:dyDescent="0.25">
      <c r="C307" s="13"/>
      <c r="D307" s="14"/>
    </row>
    <row r="308" spans="3:4" x14ac:dyDescent="0.25">
      <c r="C308" s="13"/>
      <c r="D308" s="14"/>
    </row>
    <row r="309" spans="3:4" x14ac:dyDescent="0.25">
      <c r="C309" s="13"/>
      <c r="D309" s="14"/>
    </row>
    <row r="310" spans="3:4" x14ac:dyDescent="0.25">
      <c r="C310" s="13"/>
      <c r="D310" s="14"/>
    </row>
    <row r="311" spans="3:4" x14ac:dyDescent="0.25">
      <c r="C311" s="13"/>
      <c r="D311" s="14"/>
    </row>
    <row r="312" spans="3:4" x14ac:dyDescent="0.25">
      <c r="C312" s="13"/>
      <c r="D312" s="14"/>
    </row>
    <row r="313" spans="3:4" x14ac:dyDescent="0.25">
      <c r="C313" s="13"/>
      <c r="D313" s="14"/>
    </row>
    <row r="314" spans="3:4" x14ac:dyDescent="0.25">
      <c r="C314" s="13"/>
      <c r="D314" s="14"/>
    </row>
    <row r="315" spans="3:4" x14ac:dyDescent="0.25">
      <c r="C315" s="13"/>
      <c r="D315" s="14"/>
    </row>
    <row r="316" spans="3:4" x14ac:dyDescent="0.25">
      <c r="C316" s="13"/>
      <c r="D316" s="14"/>
    </row>
    <row r="317" spans="3:4" x14ac:dyDescent="0.25">
      <c r="C317" s="13"/>
      <c r="D317" s="14"/>
    </row>
    <row r="318" spans="3:4" x14ac:dyDescent="0.25">
      <c r="C318" s="13"/>
      <c r="D318" s="14"/>
    </row>
    <row r="319" spans="3:4" x14ac:dyDescent="0.25">
      <c r="C319" s="13"/>
      <c r="D319" s="14"/>
    </row>
    <row r="320" spans="3:4" x14ac:dyDescent="0.25">
      <c r="C320" s="13"/>
      <c r="D320" s="14"/>
    </row>
    <row r="321" spans="3:4" x14ac:dyDescent="0.25">
      <c r="C321" s="13"/>
      <c r="D321" s="14"/>
    </row>
    <row r="322" spans="3:4" x14ac:dyDescent="0.25">
      <c r="C322" s="13"/>
      <c r="D322" s="14"/>
    </row>
    <row r="323" spans="3:4" x14ac:dyDescent="0.25">
      <c r="C323" s="13"/>
      <c r="D323" s="14"/>
    </row>
    <row r="324" spans="3:4" x14ac:dyDescent="0.25">
      <c r="C324" s="13"/>
      <c r="D324" s="14"/>
    </row>
    <row r="325" spans="3:4" x14ac:dyDescent="0.25">
      <c r="C325" s="13"/>
      <c r="D325" s="14"/>
    </row>
    <row r="326" spans="3:4" x14ac:dyDescent="0.25">
      <c r="C326" s="13"/>
      <c r="D326" s="14"/>
    </row>
    <row r="327" spans="3:4" x14ac:dyDescent="0.25">
      <c r="C327" s="13"/>
      <c r="D327" s="14"/>
    </row>
    <row r="328" spans="3:4" x14ac:dyDescent="0.25">
      <c r="C328" s="13"/>
      <c r="D328" s="14"/>
    </row>
    <row r="329" spans="3:4" x14ac:dyDescent="0.25">
      <c r="C329" s="13"/>
      <c r="D329" s="14"/>
    </row>
    <row r="330" spans="3:4" x14ac:dyDescent="0.25">
      <c r="C330" s="13"/>
      <c r="D330" s="14"/>
    </row>
    <row r="331" spans="3:4" x14ac:dyDescent="0.25">
      <c r="C331" s="13"/>
      <c r="D331" s="14"/>
    </row>
    <row r="332" spans="3:4" x14ac:dyDescent="0.25">
      <c r="C332" s="13"/>
      <c r="D332" s="14"/>
    </row>
    <row r="333" spans="3:4" x14ac:dyDescent="0.25">
      <c r="C333" s="13"/>
      <c r="D333" s="14"/>
    </row>
    <row r="334" spans="3:4" x14ac:dyDescent="0.25">
      <c r="C334" s="13"/>
      <c r="D334" s="14"/>
    </row>
    <row r="335" spans="3:4" x14ac:dyDescent="0.25">
      <c r="C335" s="13"/>
      <c r="D335" s="14"/>
    </row>
    <row r="336" spans="3:4" x14ac:dyDescent="0.25">
      <c r="C336" s="13"/>
      <c r="D336" s="14"/>
    </row>
    <row r="337" spans="1:4" x14ac:dyDescent="0.25">
      <c r="C337" s="13"/>
      <c r="D337" s="14"/>
    </row>
    <row r="338" spans="1:4" x14ac:dyDescent="0.25">
      <c r="C338" s="13"/>
      <c r="D338" s="14"/>
    </row>
    <row r="339" spans="1:4" x14ac:dyDescent="0.25">
      <c r="C339" s="13"/>
      <c r="D339" s="14"/>
    </row>
    <row r="340" spans="1:4" x14ac:dyDescent="0.25">
      <c r="C340" s="13"/>
      <c r="D340" s="14"/>
    </row>
    <row r="341" spans="1:4" x14ac:dyDescent="0.25">
      <c r="C341" s="13"/>
      <c r="D341" s="14"/>
    </row>
    <row r="342" spans="1:4" x14ac:dyDescent="0.25">
      <c r="C342" s="13"/>
      <c r="D342" s="14"/>
    </row>
    <row r="343" spans="1:4" x14ac:dyDescent="0.25">
      <c r="C343" s="13"/>
      <c r="D343" s="14"/>
    </row>
    <row r="344" spans="1:4" x14ac:dyDescent="0.25">
      <c r="C344" s="13"/>
      <c r="D344" s="14"/>
    </row>
    <row r="345" spans="1:4" x14ac:dyDescent="0.25">
      <c r="C345" s="13"/>
      <c r="D345" s="14"/>
    </row>
    <row r="346" spans="1:4" x14ac:dyDescent="0.25">
      <c r="A346" s="15"/>
      <c r="C346" s="13"/>
      <c r="D346" s="14"/>
    </row>
    <row r="347" spans="1:4" x14ac:dyDescent="0.25">
      <c r="C347" s="13"/>
      <c r="D347" s="14"/>
    </row>
    <row r="348" spans="1:4" x14ac:dyDescent="0.25">
      <c r="C348" s="13"/>
      <c r="D348" s="14"/>
    </row>
    <row r="349" spans="1:4" x14ac:dyDescent="0.25">
      <c r="C349" s="13"/>
      <c r="D349" s="14"/>
    </row>
    <row r="350" spans="1:4" x14ac:dyDescent="0.25">
      <c r="C350" s="13"/>
      <c r="D350" s="14"/>
    </row>
    <row r="351" spans="1:4" x14ac:dyDescent="0.25">
      <c r="C351" s="13"/>
      <c r="D351" s="14"/>
    </row>
    <row r="352" spans="1:4" x14ac:dyDescent="0.25">
      <c r="C352" s="13"/>
      <c r="D352" s="14"/>
    </row>
    <row r="353" spans="3:4" x14ac:dyDescent="0.25">
      <c r="C353" s="13"/>
      <c r="D353" s="14"/>
    </row>
    <row r="354" spans="3:4" x14ac:dyDescent="0.25">
      <c r="C354" s="13"/>
      <c r="D354" s="14"/>
    </row>
    <row r="355" spans="3:4" x14ac:dyDescent="0.25">
      <c r="C355" s="13"/>
      <c r="D355" s="14"/>
    </row>
    <row r="356" spans="3:4" x14ac:dyDescent="0.25">
      <c r="C356" s="13"/>
      <c r="D356" s="14"/>
    </row>
    <row r="357" spans="3:4" x14ac:dyDescent="0.25">
      <c r="C357" s="13"/>
      <c r="D357" s="14"/>
    </row>
    <row r="358" spans="3:4" x14ac:dyDescent="0.25">
      <c r="C358" s="13"/>
      <c r="D358" s="14"/>
    </row>
    <row r="359" spans="3:4" x14ac:dyDescent="0.25">
      <c r="C359" s="13"/>
      <c r="D359" s="14"/>
    </row>
    <row r="360" spans="3:4" x14ac:dyDescent="0.25">
      <c r="C360" s="13"/>
      <c r="D360" s="14"/>
    </row>
    <row r="361" spans="3:4" x14ac:dyDescent="0.25">
      <c r="C361" s="13"/>
      <c r="D361" s="14"/>
    </row>
    <row r="362" spans="3:4" x14ac:dyDescent="0.25">
      <c r="C362" s="13"/>
      <c r="D362" s="14"/>
    </row>
    <row r="363" spans="3:4" x14ac:dyDescent="0.25">
      <c r="C363" s="13"/>
      <c r="D363" s="14"/>
    </row>
    <row r="364" spans="3:4" x14ac:dyDescent="0.25">
      <c r="C364" s="13"/>
      <c r="D364" s="14"/>
    </row>
    <row r="365" spans="3:4" x14ac:dyDescent="0.25">
      <c r="C365" s="13"/>
      <c r="D365" s="14"/>
    </row>
    <row r="366" spans="3:4" x14ac:dyDescent="0.25">
      <c r="C366" s="13"/>
      <c r="D366" s="14"/>
    </row>
    <row r="367" spans="3:4" x14ac:dyDescent="0.25">
      <c r="C367" s="13"/>
      <c r="D367" s="14"/>
    </row>
    <row r="368" spans="3:4" x14ac:dyDescent="0.25">
      <c r="C368" s="13"/>
      <c r="D368" s="14"/>
    </row>
    <row r="369" spans="3:4" x14ac:dyDescent="0.25">
      <c r="C369" s="13"/>
      <c r="D369" s="14"/>
    </row>
    <row r="370" spans="3:4" x14ac:dyDescent="0.25">
      <c r="C370" s="13"/>
      <c r="D370" s="14"/>
    </row>
    <row r="371" spans="3:4" x14ac:dyDescent="0.25">
      <c r="C371" s="13"/>
      <c r="D371" s="14"/>
    </row>
    <row r="372" spans="3:4" x14ac:dyDescent="0.25">
      <c r="C372" s="13"/>
      <c r="D372" s="14"/>
    </row>
    <row r="373" spans="3:4" x14ac:dyDescent="0.25">
      <c r="C373" s="13"/>
      <c r="D373" s="14"/>
    </row>
    <row r="374" spans="3:4" x14ac:dyDescent="0.25">
      <c r="C374" s="13"/>
      <c r="D374" s="14"/>
    </row>
    <row r="375" spans="3:4" x14ac:dyDescent="0.25">
      <c r="C375" s="13"/>
      <c r="D375" s="14"/>
    </row>
    <row r="376" spans="3:4" x14ac:dyDescent="0.25">
      <c r="C376" s="13"/>
      <c r="D376" s="14"/>
    </row>
    <row r="377" spans="3:4" x14ac:dyDescent="0.25">
      <c r="C377" s="13"/>
      <c r="D377" s="14"/>
    </row>
    <row r="378" spans="3:4" x14ac:dyDescent="0.25">
      <c r="C378" s="13"/>
      <c r="D378" s="14"/>
    </row>
    <row r="379" spans="3:4" x14ac:dyDescent="0.25">
      <c r="C379" s="13"/>
      <c r="D379" s="14"/>
    </row>
    <row r="380" spans="3:4" x14ac:dyDescent="0.25">
      <c r="C380" s="13"/>
      <c r="D380" s="14"/>
    </row>
    <row r="381" spans="3:4" x14ac:dyDescent="0.25">
      <c r="C381" s="13"/>
      <c r="D381" s="14"/>
    </row>
    <row r="382" spans="3:4" x14ac:dyDescent="0.25">
      <c r="C382" s="13"/>
      <c r="D382" s="14"/>
    </row>
    <row r="383" spans="3:4" x14ac:dyDescent="0.25">
      <c r="C383" s="13"/>
      <c r="D383" s="14"/>
    </row>
    <row r="384" spans="3:4" x14ac:dyDescent="0.25">
      <c r="C384" s="13"/>
      <c r="D384" s="14"/>
    </row>
    <row r="385" spans="3:4" x14ac:dyDescent="0.25">
      <c r="C385" s="13"/>
      <c r="D385" s="14"/>
    </row>
    <row r="386" spans="3:4" x14ac:dyDescent="0.25">
      <c r="C386" s="13"/>
      <c r="D386" s="14"/>
    </row>
    <row r="387" spans="3:4" x14ac:dyDescent="0.25">
      <c r="C387" s="13"/>
      <c r="D387" s="14"/>
    </row>
    <row r="388" spans="3:4" x14ac:dyDescent="0.25">
      <c r="C388" s="13"/>
      <c r="D388" s="14"/>
    </row>
    <row r="389" spans="3:4" x14ac:dyDescent="0.25">
      <c r="C389" s="13"/>
      <c r="D389" s="14"/>
    </row>
    <row r="390" spans="3:4" x14ac:dyDescent="0.25">
      <c r="C390" s="13"/>
      <c r="D390" s="14"/>
    </row>
    <row r="391" spans="3:4" x14ac:dyDescent="0.25">
      <c r="C391" s="13"/>
      <c r="D391" s="14"/>
    </row>
    <row r="392" spans="3:4" x14ac:dyDescent="0.25">
      <c r="C392" s="13"/>
      <c r="D392" s="14"/>
    </row>
    <row r="393" spans="3:4" x14ac:dyDescent="0.25">
      <c r="C393" s="13"/>
      <c r="D393" s="14"/>
    </row>
    <row r="394" spans="3:4" x14ac:dyDescent="0.25">
      <c r="C394" s="13"/>
      <c r="D394" s="14"/>
    </row>
    <row r="395" spans="3:4" x14ac:dyDescent="0.25">
      <c r="C395" s="13"/>
      <c r="D395" s="14"/>
    </row>
    <row r="396" spans="3:4" x14ac:dyDescent="0.25">
      <c r="C396" s="13"/>
      <c r="D396" s="14"/>
    </row>
    <row r="397" spans="3:4" x14ac:dyDescent="0.25">
      <c r="C397" s="13"/>
      <c r="D397" s="14"/>
    </row>
    <row r="398" spans="3:4" x14ac:dyDescent="0.25">
      <c r="C398" s="13"/>
      <c r="D398" s="14"/>
    </row>
    <row r="399" spans="3:4" x14ac:dyDescent="0.25">
      <c r="C399" s="13"/>
      <c r="D399" s="14"/>
    </row>
    <row r="400" spans="3:4" x14ac:dyDescent="0.25">
      <c r="C400" s="13"/>
      <c r="D400" s="14"/>
    </row>
    <row r="401" spans="3:4" x14ac:dyDescent="0.25">
      <c r="C401" s="13"/>
      <c r="D401" s="14"/>
    </row>
    <row r="402" spans="3:4" x14ac:dyDescent="0.25">
      <c r="C402" s="13"/>
      <c r="D402" s="14"/>
    </row>
    <row r="403" spans="3:4" x14ac:dyDescent="0.25">
      <c r="C403" s="13"/>
      <c r="D403" s="14"/>
    </row>
    <row r="404" spans="3:4" x14ac:dyDescent="0.25">
      <c r="C404" s="13"/>
      <c r="D404" s="14"/>
    </row>
    <row r="405" spans="3:4" x14ac:dyDescent="0.25">
      <c r="C405" s="13"/>
      <c r="D405" s="14"/>
    </row>
    <row r="406" spans="3:4" x14ac:dyDescent="0.25">
      <c r="C406" s="13"/>
      <c r="D406" s="14"/>
    </row>
    <row r="407" spans="3:4" x14ac:dyDescent="0.25">
      <c r="C407" s="13"/>
      <c r="D407" s="14"/>
    </row>
    <row r="408" spans="3:4" x14ac:dyDescent="0.25">
      <c r="C408" s="13"/>
      <c r="D408" s="14"/>
    </row>
    <row r="409" spans="3:4" x14ac:dyDescent="0.25">
      <c r="C409" s="13"/>
      <c r="D409" s="14"/>
    </row>
    <row r="410" spans="3:4" x14ac:dyDescent="0.25">
      <c r="C410" s="13"/>
      <c r="D410" s="14"/>
    </row>
    <row r="411" spans="3:4" x14ac:dyDescent="0.25">
      <c r="C411" s="13"/>
      <c r="D411" s="14"/>
    </row>
    <row r="412" spans="3:4" x14ac:dyDescent="0.25">
      <c r="C412" s="13"/>
      <c r="D412" s="14"/>
    </row>
    <row r="413" spans="3:4" x14ac:dyDescent="0.25">
      <c r="C413" s="13"/>
      <c r="D413" s="14"/>
    </row>
    <row r="414" spans="3:4" x14ac:dyDescent="0.25">
      <c r="C414" s="13"/>
      <c r="D414" s="14"/>
    </row>
    <row r="415" spans="3:4" x14ac:dyDescent="0.25">
      <c r="C415" s="13"/>
      <c r="D415" s="14"/>
    </row>
    <row r="416" spans="3:4" x14ac:dyDescent="0.25">
      <c r="C416" s="13"/>
      <c r="D416" s="14"/>
    </row>
    <row r="417" spans="3:4" x14ac:dyDescent="0.25">
      <c r="C417" s="13"/>
      <c r="D417" s="14"/>
    </row>
    <row r="418" spans="3:4" x14ac:dyDescent="0.25">
      <c r="C418" s="13"/>
      <c r="D418" s="14"/>
    </row>
    <row r="419" spans="3:4" x14ac:dyDescent="0.25">
      <c r="C419" s="13"/>
      <c r="D419" s="14"/>
    </row>
    <row r="420" spans="3:4" x14ac:dyDescent="0.25">
      <c r="C420" s="13"/>
      <c r="D420" s="14"/>
    </row>
    <row r="421" spans="3:4" x14ac:dyDescent="0.25">
      <c r="C421" s="13"/>
      <c r="D421" s="14"/>
    </row>
    <row r="422" spans="3:4" x14ac:dyDescent="0.25">
      <c r="C422" s="13"/>
      <c r="D422" s="14"/>
    </row>
    <row r="423" spans="3:4" x14ac:dyDescent="0.25">
      <c r="C423" s="13"/>
      <c r="D423" s="14"/>
    </row>
    <row r="424" spans="3:4" x14ac:dyDescent="0.25">
      <c r="C424" s="13"/>
      <c r="D424" s="14"/>
    </row>
    <row r="425" spans="3:4" x14ac:dyDescent="0.25">
      <c r="C425" s="13"/>
      <c r="D425" s="14"/>
    </row>
    <row r="426" spans="3:4" x14ac:dyDescent="0.25">
      <c r="C426" s="13"/>
      <c r="D426" s="14"/>
    </row>
    <row r="427" spans="3:4" x14ac:dyDescent="0.25">
      <c r="C427" s="13"/>
      <c r="D427" s="14"/>
    </row>
    <row r="428" spans="3:4" x14ac:dyDescent="0.25">
      <c r="C428" s="13"/>
      <c r="D428" s="14"/>
    </row>
    <row r="429" spans="3:4" x14ac:dyDescent="0.25">
      <c r="C429" s="13"/>
      <c r="D429" s="14"/>
    </row>
    <row r="430" spans="3:4" x14ac:dyDescent="0.25">
      <c r="C430" s="13"/>
      <c r="D430" s="14"/>
    </row>
    <row r="431" spans="3:4" x14ac:dyDescent="0.25">
      <c r="C431" s="13"/>
      <c r="D431" s="14"/>
    </row>
    <row r="432" spans="3:4" x14ac:dyDescent="0.25">
      <c r="C432" s="13"/>
      <c r="D432" s="14"/>
    </row>
    <row r="433" spans="3:4" x14ac:dyDescent="0.25">
      <c r="C433" s="13"/>
      <c r="D433" s="14"/>
    </row>
    <row r="434" spans="3:4" x14ac:dyDescent="0.25">
      <c r="C434" s="13"/>
      <c r="D434" s="14"/>
    </row>
    <row r="435" spans="3:4" x14ac:dyDescent="0.25">
      <c r="C435" s="13"/>
      <c r="D435" s="14"/>
    </row>
    <row r="436" spans="3:4" x14ac:dyDescent="0.25">
      <c r="C436" s="13"/>
      <c r="D436" s="14"/>
    </row>
    <row r="437" spans="3:4" x14ac:dyDescent="0.25">
      <c r="C437" s="13"/>
      <c r="D437" s="14"/>
    </row>
    <row r="438" spans="3:4" x14ac:dyDescent="0.25">
      <c r="C438" s="13"/>
      <c r="D438" s="14"/>
    </row>
    <row r="439" spans="3:4" x14ac:dyDescent="0.25">
      <c r="C439" s="13"/>
      <c r="D439" s="14"/>
    </row>
    <row r="440" spans="3:4" x14ac:dyDescent="0.25">
      <c r="C440" s="13"/>
      <c r="D440" s="14"/>
    </row>
    <row r="441" spans="3:4" x14ac:dyDescent="0.25">
      <c r="C441" s="13"/>
      <c r="D441" s="14"/>
    </row>
    <row r="442" spans="3:4" x14ac:dyDescent="0.25">
      <c r="C442" s="13"/>
      <c r="D442" s="14"/>
    </row>
    <row r="443" spans="3:4" x14ac:dyDescent="0.25">
      <c r="C443" s="13"/>
      <c r="D443" s="14"/>
    </row>
    <row r="444" spans="3:4" x14ac:dyDescent="0.25">
      <c r="C444" s="13"/>
      <c r="D444" s="14"/>
    </row>
    <row r="445" spans="3:4" x14ac:dyDescent="0.25">
      <c r="C445" s="13"/>
      <c r="D445" s="14"/>
    </row>
    <row r="446" spans="3:4" x14ac:dyDescent="0.25">
      <c r="C446" s="13"/>
      <c r="D446" s="14"/>
    </row>
    <row r="447" spans="3:4" x14ac:dyDescent="0.25">
      <c r="C447" s="13"/>
      <c r="D447" s="14"/>
    </row>
    <row r="448" spans="3:4" x14ac:dyDescent="0.25">
      <c r="C448" s="13"/>
      <c r="D448" s="14"/>
    </row>
    <row r="449" spans="3:4" x14ac:dyDescent="0.25">
      <c r="C449" s="13"/>
      <c r="D449" s="14"/>
    </row>
    <row r="450" spans="3:4" x14ac:dyDescent="0.25">
      <c r="C450" s="13"/>
      <c r="D450" s="14"/>
    </row>
    <row r="451" spans="3:4" x14ac:dyDescent="0.25">
      <c r="C451" s="13"/>
      <c r="D451" s="14"/>
    </row>
    <row r="452" spans="3:4" x14ac:dyDescent="0.25">
      <c r="C452" s="13"/>
      <c r="D452" s="14"/>
    </row>
    <row r="453" spans="3:4" x14ac:dyDescent="0.25">
      <c r="C453" s="13"/>
      <c r="D453" s="14"/>
    </row>
    <row r="454" spans="3:4" x14ac:dyDescent="0.25">
      <c r="C454" s="13"/>
      <c r="D454" s="14"/>
    </row>
    <row r="455" spans="3:4" x14ac:dyDescent="0.25">
      <c r="C455" s="13"/>
      <c r="D455" s="14"/>
    </row>
    <row r="456" spans="3:4" x14ac:dyDescent="0.25">
      <c r="C456" s="13"/>
      <c r="D456" s="14"/>
    </row>
    <row r="457" spans="3:4" x14ac:dyDescent="0.25">
      <c r="C457" s="13"/>
      <c r="D457" s="14"/>
    </row>
    <row r="458" spans="3:4" x14ac:dyDescent="0.25">
      <c r="C458" s="13"/>
      <c r="D458" s="14"/>
    </row>
    <row r="459" spans="3:4" x14ac:dyDescent="0.25">
      <c r="C459" s="13"/>
      <c r="D459" s="14"/>
    </row>
    <row r="460" spans="3:4" x14ac:dyDescent="0.25">
      <c r="C460" s="13"/>
      <c r="D460" s="14"/>
    </row>
    <row r="461" spans="3:4" x14ac:dyDescent="0.25">
      <c r="C461" s="13"/>
      <c r="D461" s="14"/>
    </row>
    <row r="462" spans="3:4" x14ac:dyDescent="0.25">
      <c r="C462" s="13"/>
      <c r="D462" s="14"/>
    </row>
    <row r="463" spans="3:4" x14ac:dyDescent="0.25">
      <c r="C463" s="13"/>
      <c r="D463" s="14"/>
    </row>
    <row r="464" spans="3:4" x14ac:dyDescent="0.25">
      <c r="C464" s="13"/>
      <c r="D464" s="14"/>
    </row>
    <row r="465" spans="3:4" x14ac:dyDescent="0.25">
      <c r="C465" s="13"/>
      <c r="D465" s="14"/>
    </row>
    <row r="466" spans="3:4" x14ac:dyDescent="0.25">
      <c r="C466" s="13"/>
      <c r="D466" s="14"/>
    </row>
    <row r="467" spans="3:4" x14ac:dyDescent="0.25">
      <c r="C467" s="13"/>
      <c r="D467" s="14"/>
    </row>
    <row r="468" spans="3:4" x14ac:dyDescent="0.25">
      <c r="C468" s="13"/>
      <c r="D468" s="14"/>
    </row>
    <row r="469" spans="3:4" x14ac:dyDescent="0.25">
      <c r="C469" s="13"/>
      <c r="D469" s="14"/>
    </row>
    <row r="470" spans="3:4" x14ac:dyDescent="0.25">
      <c r="C470" s="13"/>
      <c r="D470" s="14"/>
    </row>
    <row r="471" spans="3:4" x14ac:dyDescent="0.25">
      <c r="C471" s="13"/>
      <c r="D471" s="14"/>
    </row>
    <row r="472" spans="3:4" x14ac:dyDescent="0.25">
      <c r="C472" s="13"/>
      <c r="D472" s="14"/>
    </row>
    <row r="473" spans="3:4" x14ac:dyDescent="0.25">
      <c r="C473" s="13"/>
      <c r="D473" s="14"/>
    </row>
    <row r="474" spans="3:4" x14ac:dyDescent="0.25">
      <c r="C474" s="13"/>
      <c r="D474" s="14"/>
    </row>
    <row r="475" spans="3:4" x14ac:dyDescent="0.25">
      <c r="C475" s="13"/>
      <c r="D475" s="14"/>
    </row>
    <row r="476" spans="3:4" x14ac:dyDescent="0.25">
      <c r="C476" s="13"/>
      <c r="D476" s="14"/>
    </row>
    <row r="477" spans="3:4" x14ac:dyDescent="0.25">
      <c r="C477" s="13"/>
      <c r="D477" s="14"/>
    </row>
    <row r="478" spans="3:4" x14ac:dyDescent="0.25">
      <c r="C478" s="13"/>
      <c r="D478" s="14"/>
    </row>
    <row r="479" spans="3:4" x14ac:dyDescent="0.25">
      <c r="C479" s="13"/>
      <c r="D479" s="14"/>
    </row>
    <row r="480" spans="3:4" x14ac:dyDescent="0.25">
      <c r="C480" s="13"/>
      <c r="D480" s="14"/>
    </row>
    <row r="481" spans="2:4" x14ac:dyDescent="0.25">
      <c r="C481" s="13"/>
      <c r="D481" s="14"/>
    </row>
    <row r="482" spans="2:4" x14ac:dyDescent="0.25">
      <c r="C482" s="13"/>
      <c r="D482" s="14"/>
    </row>
    <row r="483" spans="2:4" x14ac:dyDescent="0.25">
      <c r="C483" s="13"/>
      <c r="D483" s="14"/>
    </row>
    <row r="484" spans="2:4" x14ac:dyDescent="0.25">
      <c r="B484" s="14"/>
      <c r="C484" s="13"/>
      <c r="D484" s="14"/>
    </row>
    <row r="485" spans="2:4" x14ac:dyDescent="0.25">
      <c r="B485" s="14"/>
      <c r="C485" s="13"/>
      <c r="D485" s="14"/>
    </row>
    <row r="486" spans="2:4" x14ac:dyDescent="0.25">
      <c r="B486" s="14"/>
      <c r="C486" s="13"/>
      <c r="D486" s="14"/>
    </row>
    <row r="487" spans="2:4" x14ac:dyDescent="0.25">
      <c r="B487" s="14"/>
      <c r="C487" s="13"/>
      <c r="D487" s="14"/>
    </row>
    <row r="488" spans="2:4" x14ac:dyDescent="0.25">
      <c r="B488" s="14"/>
      <c r="C488" s="13"/>
      <c r="D488" s="14"/>
    </row>
    <row r="489" spans="2:4" x14ac:dyDescent="0.25">
      <c r="B489" s="14"/>
      <c r="C489" s="13"/>
      <c r="D489" s="14"/>
    </row>
    <row r="490" spans="2:4" x14ac:dyDescent="0.25">
      <c r="B490" s="14"/>
      <c r="C490" s="13"/>
      <c r="D490" s="14"/>
    </row>
    <row r="491" spans="2:4" x14ac:dyDescent="0.25">
      <c r="B491" s="14"/>
      <c r="C491" s="13"/>
      <c r="D491" s="14"/>
    </row>
    <row r="492" spans="2:4" x14ac:dyDescent="0.25">
      <c r="B492" s="14"/>
      <c r="C492" s="13"/>
      <c r="D492" s="14"/>
    </row>
    <row r="493" spans="2:4" x14ac:dyDescent="0.25">
      <c r="B493" s="14"/>
      <c r="C493" s="13"/>
      <c r="D493" s="14"/>
    </row>
    <row r="494" spans="2:4" x14ac:dyDescent="0.25">
      <c r="B494" s="14"/>
      <c r="C494" s="13"/>
      <c r="D494" s="14"/>
    </row>
    <row r="495" spans="2:4" x14ac:dyDescent="0.25">
      <c r="B495" s="14"/>
      <c r="C495" s="13"/>
      <c r="D495" s="14"/>
    </row>
    <row r="496" spans="2:4" x14ac:dyDescent="0.25">
      <c r="B496" s="14"/>
      <c r="C496" s="13"/>
      <c r="D496" s="14"/>
    </row>
    <row r="497" spans="1:4" x14ac:dyDescent="0.25">
      <c r="A497" s="17"/>
      <c r="D497" s="14"/>
    </row>
    <row r="499" spans="1:4" x14ac:dyDescent="0.25">
      <c r="A499" s="165"/>
      <c r="D499" s="14"/>
    </row>
  </sheetData>
  <autoFilter ref="A1:D499" xr:uid="{00000000-0009-0000-0000-000003000000}"/>
  <sortState xmlns:xlrd2="http://schemas.microsoft.com/office/spreadsheetml/2017/richdata2" ref="A2:D496">
    <sortCondition ref="B2"/>
  </sortState>
  <conditionalFormatting sqref="A497">
    <cfRule type="beginsWith" dxfId="1" priority="2" operator="beginsWith" text="Sem E">
      <formula>LEFT(A497,LEN("Sem E"))="Sem E"</formula>
    </cfRule>
  </conditionalFormatting>
  <conditionalFormatting sqref="A499">
    <cfRule type="beginsWith" dxfId="0" priority="1" operator="beginsWith" text="Sem E">
      <formula>LEFT(A499,LEN("Sem E"))="Sem E"</formula>
    </cfRule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Index</vt:lpstr>
      <vt:lpstr>Base</vt:lpstr>
      <vt:lpstr>Estatisticas</vt:lpstr>
      <vt:lpstr>Suregs</vt:lpstr>
      <vt:lpstr>SUREGS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2022-12-21T02:22:13Z</dcterms:modified>
</cp:coreProperties>
</file>